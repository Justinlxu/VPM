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l11\Desktop\VPM\"/>
    </mc:Choice>
  </mc:AlternateContent>
  <xr:revisionPtr revIDLastSave="0" documentId="13_ncr:1_{6CC4560B-A206-4CB6-B534-8D330B4F2E11}" xr6:coauthVersionLast="47" xr6:coauthVersionMax="47" xr10:uidLastSave="{00000000-0000-0000-0000-000000000000}"/>
  <bookViews>
    <workbookView xWindow="-110" yWindow="-110" windowWidth="19420" windowHeight="11500" xr2:uid="{340DB975-8699-4957-AF02-B724CDF6AF4C}"/>
  </bookViews>
  <sheets>
    <sheet name="Maps" sheetId="1" r:id="rId1"/>
    <sheet name="Cashflow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H55" i="1"/>
  <c r="I55" i="1"/>
  <c r="J55" i="1"/>
  <c r="M43" i="1" a="1"/>
  <c r="M43" i="1" s="1"/>
  <c r="M44" i="1" a="1"/>
  <c r="M44" i="1" s="1"/>
  <c r="M51" i="1" a="1"/>
  <c r="M51" i="1" s="1"/>
  <c r="M52" i="1" a="1"/>
  <c r="M52" i="1" s="1"/>
  <c r="J37" i="1"/>
  <c r="J38" i="1"/>
  <c r="J39" i="1"/>
  <c r="J40" i="1"/>
  <c r="J41" i="1"/>
  <c r="M41" i="1" s="1" a="1"/>
  <c r="M41" i="1" s="1"/>
  <c r="J42" i="1"/>
  <c r="M42" i="1" s="1" a="1"/>
  <c r="M42" i="1" s="1"/>
  <c r="J43" i="1"/>
  <c r="J44" i="1"/>
  <c r="J45" i="1"/>
  <c r="J46" i="1"/>
  <c r="J47" i="1"/>
  <c r="J48" i="1"/>
  <c r="J49" i="1"/>
  <c r="M49" i="1" s="1" a="1"/>
  <c r="M49" i="1" s="1"/>
  <c r="J50" i="1"/>
  <c r="M50" i="1" s="1" a="1"/>
  <c r="M50" i="1" s="1"/>
  <c r="J51" i="1"/>
  <c r="J52" i="1"/>
  <c r="J53" i="1"/>
  <c r="J54" i="1"/>
  <c r="I37" i="1"/>
  <c r="I38" i="1"/>
  <c r="I39" i="1"/>
  <c r="I40" i="1"/>
  <c r="M40" i="1" s="1" a="1"/>
  <c r="M40" i="1" s="1"/>
  <c r="I41" i="1"/>
  <c r="I42" i="1"/>
  <c r="I43" i="1"/>
  <c r="I44" i="1"/>
  <c r="I45" i="1"/>
  <c r="I46" i="1"/>
  <c r="I47" i="1"/>
  <c r="I48" i="1"/>
  <c r="M48" i="1" s="1" a="1"/>
  <c r="M48" i="1" s="1"/>
  <c r="I49" i="1"/>
  <c r="I50" i="1"/>
  <c r="I51" i="1"/>
  <c r="I52" i="1"/>
  <c r="I53" i="1"/>
  <c r="I54" i="1"/>
  <c r="H54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H4" i="1"/>
  <c r="I4" i="1"/>
  <c r="J4" i="1"/>
  <c r="H2" i="1"/>
  <c r="I2" i="1"/>
  <c r="J2" i="1"/>
  <c r="M2" i="1" a="1"/>
  <c r="M2" i="1" s="1"/>
  <c r="H3" i="1"/>
  <c r="M3" i="1" s="1" a="1"/>
  <c r="M3" i="1" s="1"/>
  <c r="I3" i="1"/>
  <c r="J3" i="1"/>
  <c r="H5" i="1"/>
  <c r="I5" i="1"/>
  <c r="J5" i="1"/>
  <c r="H29" i="1"/>
  <c r="I29" i="1"/>
  <c r="J29" i="1"/>
  <c r="F30" i="1"/>
  <c r="H30" i="1"/>
  <c r="I30" i="1"/>
  <c r="J30" i="1"/>
  <c r="F31" i="1"/>
  <c r="H31" i="1"/>
  <c r="I31" i="1"/>
  <c r="J31" i="1"/>
  <c r="F32" i="1"/>
  <c r="H32" i="1"/>
  <c r="I32" i="1"/>
  <c r="J32" i="1"/>
  <c r="F33" i="1"/>
  <c r="H33" i="1"/>
  <c r="M33" i="1" s="1" a="1"/>
  <c r="M33" i="1" s="1"/>
  <c r="I33" i="1"/>
  <c r="J33" i="1"/>
  <c r="F34" i="1"/>
  <c r="H34" i="1"/>
  <c r="I34" i="1"/>
  <c r="J34" i="1"/>
  <c r="F35" i="1"/>
  <c r="H35" i="1"/>
  <c r="I35" i="1"/>
  <c r="J35" i="1"/>
  <c r="F36" i="1"/>
  <c r="H36" i="1"/>
  <c r="I36" i="1"/>
  <c r="J36" i="1"/>
  <c r="I25" i="1"/>
  <c r="J25" i="1"/>
  <c r="I26" i="1"/>
  <c r="J26" i="1"/>
  <c r="I27" i="1"/>
  <c r="J27" i="1"/>
  <c r="I28" i="1"/>
  <c r="J28" i="1"/>
  <c r="H28" i="1"/>
  <c r="H25" i="1"/>
  <c r="H26" i="1"/>
  <c r="H27" i="1"/>
  <c r="C7" i="2"/>
  <c r="A7" i="2"/>
  <c r="A8" i="2"/>
  <c r="A9" i="2" s="1"/>
  <c r="A10" i="2" s="1"/>
  <c r="A11" i="2" s="1"/>
  <c r="A12" i="2" s="1"/>
  <c r="A13" i="2" s="1"/>
  <c r="C6" i="2"/>
  <c r="A6" i="2"/>
  <c r="C5" i="2"/>
  <c r="A5" i="2"/>
  <c r="C4" i="2"/>
  <c r="A4" i="2"/>
  <c r="C3" i="2"/>
  <c r="A3" i="2"/>
  <c r="C2" i="2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J7" i="1"/>
  <c r="J8" i="1"/>
  <c r="J9" i="1"/>
  <c r="J6" i="1"/>
  <c r="I8" i="1"/>
  <c r="I9" i="1"/>
  <c r="I7" i="1"/>
  <c r="I6" i="1"/>
  <c r="H6" i="1"/>
  <c r="H8" i="1"/>
  <c r="H9" i="1"/>
  <c r="H7" i="1"/>
  <c r="M39" i="1" l="1" a="1"/>
  <c r="M39" i="1" s="1"/>
  <c r="M45" i="1" a="1"/>
  <c r="M45" i="1" s="1"/>
  <c r="M47" i="1" a="1"/>
  <c r="M47" i="1" s="1"/>
  <c r="M54" i="1" a="1"/>
  <c r="M54" i="1" s="1"/>
  <c r="M46" i="1" a="1"/>
  <c r="M46" i="1" s="1"/>
  <c r="M38" i="1" a="1"/>
  <c r="M38" i="1" s="1"/>
  <c r="M53" i="1" a="1"/>
  <c r="M53" i="1" s="1"/>
  <c r="M37" i="1" a="1"/>
  <c r="M37" i="1" s="1"/>
  <c r="M55" i="1" a="1"/>
  <c r="M55" i="1" s="1"/>
  <c r="M36" i="1" a="1"/>
  <c r="M36" i="1" s="1"/>
  <c r="M5" i="1" a="1"/>
  <c r="M5" i="1" s="1"/>
  <c r="M25" i="1" a="1"/>
  <c r="M25" i="1" s="1"/>
  <c r="M17" i="1" a="1"/>
  <c r="M17" i="1" s="1"/>
  <c r="M18" i="1" a="1"/>
  <c r="M18" i="1" s="1"/>
  <c r="M23" i="1" a="1"/>
  <c r="M23" i="1" s="1"/>
  <c r="M32" i="1" a="1"/>
  <c r="M32" i="1" s="1"/>
  <c r="M24" i="1" a="1"/>
  <c r="M24" i="1" s="1"/>
  <c r="M34" i="1" a="1"/>
  <c r="M34" i="1" s="1"/>
  <c r="M26" i="1" a="1"/>
  <c r="M26" i="1" s="1"/>
  <c r="M30" i="1" a="1"/>
  <c r="M30" i="1" s="1"/>
  <c r="M35" i="1" a="1"/>
  <c r="M35" i="1" s="1"/>
  <c r="M20" i="1" a="1"/>
  <c r="M20" i="1" s="1"/>
  <c r="M27" i="1" a="1"/>
  <c r="M27" i="1" s="1"/>
  <c r="M19" i="1" a="1"/>
  <c r="M19" i="1" s="1"/>
  <c r="M31" i="1" a="1"/>
  <c r="M31" i="1" s="1"/>
  <c r="M29" i="1" a="1"/>
  <c r="M29" i="1" s="1"/>
  <c r="M22" i="1" a="1"/>
  <c r="M22" i="1" s="1"/>
  <c r="M21" i="1" a="1"/>
  <c r="M21" i="1" s="1"/>
  <c r="M28" i="1" a="1"/>
  <c r="M28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6" i="1" a="1"/>
  <c r="M6" i="1" s="1"/>
  <c r="M7" i="1" a="1"/>
  <c r="M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<sst xmlns="http://schemas.openxmlformats.org/spreadsheetml/2006/main" count="252" uniqueCount="54">
  <si>
    <t>Team A</t>
  </si>
  <si>
    <t>Team B</t>
  </si>
  <si>
    <t>Model Prediction</t>
  </si>
  <si>
    <t>Actual Result</t>
  </si>
  <si>
    <t>Map</t>
  </si>
  <si>
    <t>Split</t>
  </si>
  <si>
    <t>Team Liquid</t>
  </si>
  <si>
    <t>Accuracy</t>
  </si>
  <si>
    <t>Paper Rex</t>
  </si>
  <si>
    <t>NRG</t>
  </si>
  <si>
    <t>Model Team A Odds</t>
  </si>
  <si>
    <t>Model Team B Odds</t>
  </si>
  <si>
    <t>Sportsbook Team A Odds</t>
  </si>
  <si>
    <t>Sportsbook Team B Odds</t>
  </si>
  <si>
    <t>Start</t>
  </si>
  <si>
    <t>Bet Amount</t>
  </si>
  <si>
    <t>Won/Loss</t>
  </si>
  <si>
    <t>Bet?</t>
  </si>
  <si>
    <t>Sportsbook Team A Prob</t>
  </si>
  <si>
    <t>Sportsbook Team B Prob</t>
  </si>
  <si>
    <t>Pearl</t>
  </si>
  <si>
    <t>Haven</t>
  </si>
  <si>
    <t>Details</t>
  </si>
  <si>
    <t>PRX vs NRG on Pearl</t>
  </si>
  <si>
    <t>Potential Winnings</t>
  </si>
  <si>
    <t>Negative Odds:</t>
  </si>
  <si>
    <t>Winnings = (100/odds) * Bet Amount</t>
  </si>
  <si>
    <t>Positive Odds:</t>
  </si>
  <si>
    <t>Winnings = (odds/100) * Bet Amount</t>
  </si>
  <si>
    <t>PRX vs NRG on Haven</t>
  </si>
  <si>
    <t>Gentle Mates</t>
  </si>
  <si>
    <t>Bind</t>
  </si>
  <si>
    <t>M8 vs TL on Pearl</t>
  </si>
  <si>
    <t>M8 vs TL on Bind</t>
  </si>
  <si>
    <t>Breeze</t>
  </si>
  <si>
    <t>NRG vs TL on Breeze</t>
  </si>
  <si>
    <t>Abyss</t>
  </si>
  <si>
    <t>NRG vs TL on Abyss</t>
  </si>
  <si>
    <t>G2</t>
  </si>
  <si>
    <t>T1</t>
  </si>
  <si>
    <t>G2 vs T1 on Breeze</t>
  </si>
  <si>
    <t>W/L</t>
  </si>
  <si>
    <t>L</t>
  </si>
  <si>
    <t>W</t>
  </si>
  <si>
    <t>Team Bet on</t>
  </si>
  <si>
    <t>PRX</t>
  </si>
  <si>
    <t>TL</t>
  </si>
  <si>
    <t>M8</t>
  </si>
  <si>
    <t>Furia</t>
  </si>
  <si>
    <t>Furia vs PRX on Haven</t>
  </si>
  <si>
    <t>Furia vs PRX on Split</t>
  </si>
  <si>
    <t>Nongshim</t>
  </si>
  <si>
    <t>Corrode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</si>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</sst>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1" fontId="0" fillId="0" borderId="0" xfId="0" applyNumberFormat="1"/>
    <xf numFmtId="164" fontId="0" fillId="2" borderId="0" xfId="1" applyNumberFormat="1" applyFont="1" applyFill="1"/>
    <xf numFmtId="0" fontId="0" fillId="2" borderId="0" xfId="1" applyNumberFormat="1" applyFont="1" applyFill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8733-08D0-4678-B1C6-873990459FB9}">
  <dimension ref="A1:N55"/>
  <sheetViews>
    <sheetView tabSelected="1" topLeftCell="A35" workbookViewId="0">
      <selection activeCell="A42" sqref="A42"/>
    </sheetView>
  </sheetViews>
  <sheetFormatPr defaultRowHeight="14.5" x14ac:dyDescent="0.35"/>
  <cols>
    <col min="1" max="2" width="11.54296875" bestFit="1" customWidth="1"/>
    <col min="3" max="3" width="7.36328125" bestFit="1" customWidth="1"/>
    <col min="4" max="4" width="14.453125" bestFit="1" customWidth="1"/>
    <col min="5" max="5" width="11.453125" bestFit="1" customWidth="1"/>
    <col min="6" max="6" width="8.36328125" bestFit="1" customWidth="1"/>
    <col min="7" max="7" width="16.54296875" bestFit="1" customWidth="1"/>
    <col min="8" max="8" width="16.7265625" bestFit="1" customWidth="1"/>
    <col min="9" max="9" width="20.81640625" bestFit="1" customWidth="1"/>
    <col min="10" max="10" width="21.08984375" bestFit="1" customWidth="1"/>
    <col min="11" max="12" width="21.08984375" customWidth="1"/>
    <col min="13" max="13" width="7.81640625" bestFit="1" customWidth="1"/>
    <col min="14" max="14" width="9.54296875" bestFit="1" customWidth="1"/>
  </cols>
  <sheetData>
    <row r="1" spans="1:14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7</v>
      </c>
      <c r="G1" t="s">
        <v>10</v>
      </c>
      <c r="H1" t="s">
        <v>11</v>
      </c>
      <c r="I1" t="s">
        <v>18</v>
      </c>
      <c r="J1" t="s">
        <v>19</v>
      </c>
      <c r="K1" t="s">
        <v>12</v>
      </c>
      <c r="L1" t="s">
        <v>13</v>
      </c>
      <c r="M1" t="s">
        <v>17</v>
      </c>
      <c r="N1" t="s">
        <v>41</v>
      </c>
    </row>
    <row r="2" spans="1:14" x14ac:dyDescent="0.35">
      <c r="A2" t="s">
        <v>38</v>
      </c>
      <c r="B2" t="s">
        <v>8</v>
      </c>
      <c r="C2" t="s">
        <v>5</v>
      </c>
      <c r="D2" t="s">
        <v>8</v>
      </c>
      <c r="E2" t="s">
        <v>8</v>
      </c>
      <c r="F2">
        <f t="shared" ref="F2:F5" si="0">IF(D2=E2,1,0)</f>
        <v>1</v>
      </c>
      <c r="G2" s="4">
        <v>0.48099999999999998</v>
      </c>
      <c r="H2" s="1">
        <f t="shared" ref="H2:H5" si="1">1-G2</f>
        <v>0.51900000000000002</v>
      </c>
      <c r="I2" s="1">
        <f t="shared" ref="I2:I5" si="2">IF(K2&lt;0,(-K2)/((-K2)+100),100/(K2+100))</f>
        <v>1</v>
      </c>
      <c r="J2" s="1">
        <f t="shared" ref="J2:J5" si="3">IF(L2&lt;0,(-L2)/((-L2)+100),100/(L2+100))</f>
        <v>1</v>
      </c>
      <c r="K2" s="5"/>
      <c r="L2" s="5"/>
      <c r="M2" t="str" cm="1">
        <f t="array" ref="M2">_xlfn.IFS(G2&gt;I2,"Team A",H2&gt;J2,"Team B",TRUE,"No")</f>
        <v>No</v>
      </c>
      <c r="N2" s="2" t="s">
        <v>42</v>
      </c>
    </row>
    <row r="3" spans="1:14" x14ac:dyDescent="0.35">
      <c r="A3" t="s">
        <v>38</v>
      </c>
      <c r="B3" t="s">
        <v>8</v>
      </c>
      <c r="C3" t="s">
        <v>52</v>
      </c>
      <c r="D3" t="s">
        <v>8</v>
      </c>
      <c r="E3" t="s">
        <v>8</v>
      </c>
      <c r="F3">
        <f t="shared" si="0"/>
        <v>1</v>
      </c>
      <c r="G3" s="4">
        <v>0.46600000000000003</v>
      </c>
      <c r="H3" s="1">
        <f t="shared" si="1"/>
        <v>0.53400000000000003</v>
      </c>
      <c r="I3" s="1">
        <f t="shared" si="2"/>
        <v>1</v>
      </c>
      <c r="J3" s="1">
        <f t="shared" si="3"/>
        <v>1</v>
      </c>
      <c r="K3" s="5"/>
      <c r="L3" s="5"/>
      <c r="M3" t="str" cm="1">
        <f t="array" ref="M3">_xlfn.IFS(G3&gt;I3,"Team A",H3&gt;J3,"Team B",TRUE,"No")</f>
        <v>No</v>
      </c>
      <c r="N3" s="2"/>
    </row>
    <row r="4" spans="1:14" x14ac:dyDescent="0.35">
      <c r="A4" t="s">
        <v>39</v>
      </c>
      <c r="B4" t="s">
        <v>6</v>
      </c>
      <c r="C4" t="s">
        <v>34</v>
      </c>
      <c r="D4" t="s">
        <v>39</v>
      </c>
      <c r="E4" t="s">
        <v>6</v>
      </c>
      <c r="F4">
        <f t="shared" si="0"/>
        <v>0</v>
      </c>
      <c r="G4" s="4">
        <v>0.51100000000000001</v>
      </c>
      <c r="H4" s="1">
        <f t="shared" si="1"/>
        <v>0.48899999999999999</v>
      </c>
      <c r="I4" s="1">
        <f t="shared" ref="I4" si="4">IF(K4&lt;0,(-K4)/((-K4)+100),100/(K4+100))</f>
        <v>1</v>
      </c>
      <c r="J4" s="1">
        <f t="shared" ref="J4" si="5">IF(L4&lt;0,(-L4)/((-L4)+100),100/(L4+100))</f>
        <v>1</v>
      </c>
      <c r="K4" s="5"/>
      <c r="L4" s="5"/>
      <c r="N4" s="2"/>
    </row>
    <row r="5" spans="1:14" x14ac:dyDescent="0.35">
      <c r="A5" t="s">
        <v>39</v>
      </c>
      <c r="B5" t="s">
        <v>6</v>
      </c>
      <c r="C5" t="s">
        <v>5</v>
      </c>
      <c r="D5" t="s">
        <v>39</v>
      </c>
      <c r="E5" t="s">
        <v>6</v>
      </c>
      <c r="F5">
        <f t="shared" si="0"/>
        <v>0</v>
      </c>
      <c r="G5" s="4">
        <v>0.50800000000000001</v>
      </c>
      <c r="H5" s="1">
        <f t="shared" si="1"/>
        <v>0.49199999999999999</v>
      </c>
      <c r="I5" s="1">
        <f t="shared" si="2"/>
        <v>1</v>
      </c>
      <c r="J5" s="1">
        <f t="shared" si="3"/>
        <v>1</v>
      </c>
      <c r="K5" s="5"/>
      <c r="L5" s="5"/>
      <c r="M5" t="str" cm="1">
        <f t="array" ref="M5">_xlfn.IFS(G5&gt;I5,"Team A",H5&gt;J5,"Team B",TRUE,"No")</f>
        <v>No</v>
      </c>
      <c r="N5" s="2" t="s">
        <v>42</v>
      </c>
    </row>
    <row r="6" spans="1:14" x14ac:dyDescent="0.35">
      <c r="A6" t="s">
        <v>8</v>
      </c>
      <c r="B6" t="s">
        <v>9</v>
      </c>
      <c r="C6" t="s">
        <v>5</v>
      </c>
      <c r="D6" t="s">
        <v>8</v>
      </c>
      <c r="E6" t="s">
        <v>8</v>
      </c>
      <c r="F6">
        <f>IF(D6=E6,1,0)</f>
        <v>1</v>
      </c>
      <c r="G6" s="4">
        <v>0.58799999999999997</v>
      </c>
      <c r="H6" s="1">
        <f>1-G6</f>
        <v>0.41200000000000003</v>
      </c>
      <c r="I6" s="1">
        <f>IF(K6&lt;0,(-K6)/((-K6)+100),100/(K6+100))</f>
        <v>0.62121212121212122</v>
      </c>
      <c r="J6" s="1">
        <f>IF(L6&lt;0,(-L6)/((-L6)+100),100/(L6+100))</f>
        <v>0.45454545454545453</v>
      </c>
      <c r="K6" s="5">
        <v>-164</v>
      </c>
      <c r="L6" s="5">
        <v>120</v>
      </c>
      <c r="M6" t="str" cm="1">
        <f t="array" ref="M6">_xlfn.IFS(G6&gt;I6,"Team A",H6&gt;J6,"Team B",TRUE,"No")</f>
        <v>No</v>
      </c>
      <c r="N6" s="2"/>
    </row>
    <row r="7" spans="1:14" x14ac:dyDescent="0.35">
      <c r="A7" t="s">
        <v>8</v>
      </c>
      <c r="B7" t="s">
        <v>9</v>
      </c>
      <c r="C7" t="s">
        <v>20</v>
      </c>
      <c r="D7" t="s">
        <v>8</v>
      </c>
      <c r="E7" t="s">
        <v>9</v>
      </c>
      <c r="F7">
        <f>IF(D7=E7,1,0)</f>
        <v>0</v>
      </c>
      <c r="G7" s="4">
        <v>0.55200000000000005</v>
      </c>
      <c r="H7" s="1">
        <f>1-G7</f>
        <v>0.44799999999999995</v>
      </c>
      <c r="I7" s="1">
        <f>IF(K7&lt;0,(-K7)/((-K7)+100),100/(K7+100))</f>
        <v>0.51219512195121952</v>
      </c>
      <c r="J7" s="1">
        <f t="shared" ref="J7:J24" si="6">IF(L7&lt;0,(-L7)/((-L7)+100),100/(L7+100))</f>
        <v>0.56521739130434778</v>
      </c>
      <c r="K7" s="5">
        <v>-105</v>
      </c>
      <c r="L7" s="5">
        <v>-130</v>
      </c>
      <c r="M7" t="str" cm="1">
        <f t="array" ref="M7">_xlfn.IFS(G7&gt;I7,"Team A",H7&gt;J7,"Team B",TRUE,"No")</f>
        <v>Team A</v>
      </c>
      <c r="N7" s="2" t="s">
        <v>42</v>
      </c>
    </row>
    <row r="8" spans="1:14" x14ac:dyDescent="0.35">
      <c r="A8" t="s">
        <v>8</v>
      </c>
      <c r="B8" t="s">
        <v>9</v>
      </c>
      <c r="C8" t="s">
        <v>21</v>
      </c>
      <c r="D8" t="s">
        <v>8</v>
      </c>
      <c r="E8" t="s">
        <v>8</v>
      </c>
      <c r="F8">
        <f t="shared" ref="F8:F28" si="7">IF(D8=E8,1,0)</f>
        <v>1</v>
      </c>
      <c r="G8" s="4">
        <v>0.55900000000000005</v>
      </c>
      <c r="H8" s="1">
        <f t="shared" ref="H8:H28" si="8">1-G8</f>
        <v>0.44099999999999995</v>
      </c>
      <c r="I8" s="1">
        <f>IF(K8&lt;0,(-K8)/((-K8)+100),100/(K8+100))</f>
        <v>0.51219512195121952</v>
      </c>
      <c r="J8" s="1">
        <f t="shared" si="6"/>
        <v>0.56521739130434778</v>
      </c>
      <c r="K8" s="5">
        <v>-105</v>
      </c>
      <c r="L8" s="5">
        <v>-130</v>
      </c>
      <c r="M8" t="str" cm="1">
        <f t="array" ref="M8">_xlfn.IFS(G8&gt;I8,"Team A",H8&gt;J8,"Team B",TRUE,"No")</f>
        <v>Team A</v>
      </c>
      <c r="N8" t="s">
        <v>43</v>
      </c>
    </row>
    <row r="9" spans="1:14" x14ac:dyDescent="0.35">
      <c r="A9" t="s">
        <v>30</v>
      </c>
      <c r="B9" t="s">
        <v>6</v>
      </c>
      <c r="C9" t="s">
        <v>20</v>
      </c>
      <c r="D9" t="s">
        <v>6</v>
      </c>
      <c r="E9" t="s">
        <v>30</v>
      </c>
      <c r="F9">
        <f t="shared" si="7"/>
        <v>0</v>
      </c>
      <c r="G9" s="4">
        <v>0.40200000000000002</v>
      </c>
      <c r="H9" s="1">
        <f t="shared" si="8"/>
        <v>0.59799999999999998</v>
      </c>
      <c r="I9" s="1">
        <f>IF(K9&lt;0,(-K9)/((-K9)+100),100/(K9+100))</f>
        <v>0.53488372093023251</v>
      </c>
      <c r="J9" s="1">
        <f t="shared" si="6"/>
        <v>0.54128440366972475</v>
      </c>
      <c r="K9" s="5">
        <v>-115</v>
      </c>
      <c r="L9" s="5">
        <v>-118</v>
      </c>
      <c r="M9" t="str" cm="1">
        <f t="array" ref="M9">_xlfn.IFS(G9&gt;I9,"Team A",H9&gt;J9,"Team B",TRUE,"No")</f>
        <v>Team B</v>
      </c>
      <c r="N9" t="s">
        <v>42</v>
      </c>
    </row>
    <row r="10" spans="1:14" x14ac:dyDescent="0.35">
      <c r="A10" t="s">
        <v>30</v>
      </c>
      <c r="B10" t="s">
        <v>6</v>
      </c>
      <c r="C10" t="s">
        <v>31</v>
      </c>
      <c r="D10" t="s">
        <v>6</v>
      </c>
      <c r="E10" t="s">
        <v>30</v>
      </c>
      <c r="F10">
        <f t="shared" si="7"/>
        <v>0</v>
      </c>
      <c r="G10" s="4">
        <v>0.42</v>
      </c>
      <c r="H10" s="1">
        <f t="shared" si="8"/>
        <v>0.58000000000000007</v>
      </c>
      <c r="I10" s="1">
        <f t="shared" ref="I10:I24" si="9">IF(K10&lt;0,(-K10)/((-K10)+100),100/(K10+100))</f>
        <v>0.4</v>
      </c>
      <c r="J10" s="1">
        <f t="shared" si="6"/>
        <v>0.66666666666666663</v>
      </c>
      <c r="K10" s="5">
        <v>150</v>
      </c>
      <c r="L10" s="5">
        <v>-200</v>
      </c>
      <c r="M10" t="str" cm="1">
        <f t="array" ref="M10">_xlfn.IFS(G10&gt;I10,"Team A",H10&gt;J10,"Team B",TRUE,"No")</f>
        <v>Team A</v>
      </c>
      <c r="N10" t="s">
        <v>43</v>
      </c>
    </row>
    <row r="11" spans="1:14" x14ac:dyDescent="0.35">
      <c r="A11" t="s">
        <v>9</v>
      </c>
      <c r="B11" t="s">
        <v>6</v>
      </c>
      <c r="C11" t="s">
        <v>34</v>
      </c>
      <c r="D11" t="s">
        <v>6</v>
      </c>
      <c r="E11" t="s">
        <v>9</v>
      </c>
      <c r="F11">
        <f t="shared" si="7"/>
        <v>0</v>
      </c>
      <c r="G11" s="4">
        <v>0.432</v>
      </c>
      <c r="H11" s="1">
        <f t="shared" si="8"/>
        <v>0.56800000000000006</v>
      </c>
      <c r="I11" s="1">
        <f t="shared" si="9"/>
        <v>0.62825278810408924</v>
      </c>
      <c r="J11" s="1">
        <f t="shared" si="6"/>
        <v>0.44642857142857145</v>
      </c>
      <c r="K11" s="5">
        <v>-169</v>
      </c>
      <c r="L11" s="5">
        <v>124</v>
      </c>
      <c r="M11" t="str" cm="1">
        <f t="array" ref="M11">_xlfn.IFS(G11&gt;I11,"Team A",H11&gt;J11,"Team B",TRUE,"No")</f>
        <v>Team B</v>
      </c>
      <c r="N11" t="s">
        <v>42</v>
      </c>
    </row>
    <row r="12" spans="1:14" x14ac:dyDescent="0.35">
      <c r="A12" t="s">
        <v>9</v>
      </c>
      <c r="B12" t="s">
        <v>6</v>
      </c>
      <c r="C12" t="s">
        <v>36</v>
      </c>
      <c r="D12" t="s">
        <v>9</v>
      </c>
      <c r="E12" t="s">
        <v>9</v>
      </c>
      <c r="F12">
        <f t="shared" si="7"/>
        <v>1</v>
      </c>
      <c r="G12" s="4">
        <v>0.52800000000000002</v>
      </c>
      <c r="H12" s="1">
        <f t="shared" si="8"/>
        <v>0.47199999999999998</v>
      </c>
      <c r="I12" s="1">
        <f t="shared" si="9"/>
        <v>0.64539007092198586</v>
      </c>
      <c r="J12" s="1">
        <f t="shared" si="6"/>
        <v>0.43478260869565216</v>
      </c>
      <c r="K12" s="5">
        <v>-182</v>
      </c>
      <c r="L12" s="5">
        <v>130</v>
      </c>
      <c r="M12" t="str" cm="1">
        <f t="array" ref="M12">_xlfn.IFS(G12&gt;I12,"Team A",H12&gt;J12,"Team B",TRUE,"No")</f>
        <v>Team B</v>
      </c>
      <c r="N12" t="s">
        <v>42</v>
      </c>
    </row>
    <row r="13" spans="1:14" x14ac:dyDescent="0.35">
      <c r="A13" t="s">
        <v>38</v>
      </c>
      <c r="B13" t="s">
        <v>39</v>
      </c>
      <c r="C13" t="s">
        <v>34</v>
      </c>
      <c r="D13" t="s">
        <v>39</v>
      </c>
      <c r="E13" t="s">
        <v>38</v>
      </c>
      <c r="F13">
        <f t="shared" si="7"/>
        <v>0</v>
      </c>
      <c r="G13" s="4">
        <v>0.497</v>
      </c>
      <c r="H13" s="1">
        <f t="shared" si="8"/>
        <v>0.503</v>
      </c>
      <c r="I13" s="1">
        <f t="shared" si="9"/>
        <v>0.58506224066390045</v>
      </c>
      <c r="J13" s="1">
        <f t="shared" si="6"/>
        <v>0.49019607843137253</v>
      </c>
      <c r="K13" s="5">
        <v>-141</v>
      </c>
      <c r="L13" s="5">
        <v>104</v>
      </c>
      <c r="M13" t="str" cm="1">
        <f t="array" ref="M13">_xlfn.IFS(G13&gt;I13,"Team A",H13&gt;J13,"Team B",TRUE,"No")</f>
        <v>Team B</v>
      </c>
      <c r="N13" t="s">
        <v>42</v>
      </c>
    </row>
    <row r="14" spans="1:14" x14ac:dyDescent="0.35">
      <c r="A14" t="s">
        <v>38</v>
      </c>
      <c r="B14" t="s">
        <v>39</v>
      </c>
      <c r="C14" t="s">
        <v>21</v>
      </c>
      <c r="D14" t="s">
        <v>38</v>
      </c>
      <c r="E14" t="s">
        <v>38</v>
      </c>
      <c r="F14">
        <f t="shared" si="7"/>
        <v>1</v>
      </c>
      <c r="G14" s="4">
        <v>0.621</v>
      </c>
      <c r="H14" s="1">
        <f t="shared" si="8"/>
        <v>0.379</v>
      </c>
      <c r="I14" s="1">
        <f t="shared" si="9"/>
        <v>0.65753424657534243</v>
      </c>
      <c r="J14" s="1">
        <f t="shared" si="6"/>
        <v>0.41666666666666669</v>
      </c>
      <c r="K14" s="5">
        <v>-192</v>
      </c>
      <c r="L14" s="5">
        <v>140</v>
      </c>
      <c r="M14" t="str" cm="1">
        <f t="array" ref="M14">_xlfn.IFS(G14&gt;I14,"Team A",H14&gt;J14,"Team B",TRUE,"No")</f>
        <v>No</v>
      </c>
    </row>
    <row r="15" spans="1:14" x14ac:dyDescent="0.35">
      <c r="A15" t="s">
        <v>48</v>
      </c>
      <c r="B15" t="s">
        <v>8</v>
      </c>
      <c r="C15" t="s">
        <v>21</v>
      </c>
      <c r="D15" t="s">
        <v>8</v>
      </c>
      <c r="E15" t="s">
        <v>48</v>
      </c>
      <c r="F15">
        <f t="shared" si="7"/>
        <v>0</v>
      </c>
      <c r="G15" s="4">
        <v>0.39200000000000002</v>
      </c>
      <c r="H15" s="1">
        <f t="shared" si="8"/>
        <v>0.60799999999999998</v>
      </c>
      <c r="I15" s="1">
        <f t="shared" si="9"/>
        <v>0.34482758620689657</v>
      </c>
      <c r="J15" s="1">
        <f t="shared" si="6"/>
        <v>0.72972972972972971</v>
      </c>
      <c r="K15" s="5">
        <v>190</v>
      </c>
      <c r="L15" s="5">
        <v>-270</v>
      </c>
      <c r="M15" t="str" cm="1">
        <f t="array" ref="M15">_xlfn.IFS(G15&gt;I15,"Team A",H15&gt;J15,"Team B",TRUE,"No")</f>
        <v>Team A</v>
      </c>
      <c r="N15" t="s">
        <v>43</v>
      </c>
    </row>
    <row r="16" spans="1:14" x14ac:dyDescent="0.35">
      <c r="A16" t="s">
        <v>48</v>
      </c>
      <c r="B16" t="s">
        <v>8</v>
      </c>
      <c r="C16" t="s">
        <v>34</v>
      </c>
      <c r="D16" t="s">
        <v>8</v>
      </c>
      <c r="E16" t="s">
        <v>8</v>
      </c>
      <c r="F16">
        <f t="shared" si="7"/>
        <v>1</v>
      </c>
      <c r="G16" s="4">
        <v>0.38800000000000001</v>
      </c>
      <c r="H16" s="1">
        <f t="shared" si="8"/>
        <v>0.61199999999999999</v>
      </c>
      <c r="I16" s="1">
        <f t="shared" si="9"/>
        <v>0.45454545454545453</v>
      </c>
      <c r="J16" s="1">
        <f t="shared" si="6"/>
        <v>0.62546816479400746</v>
      </c>
      <c r="K16" s="5">
        <v>120</v>
      </c>
      <c r="L16" s="5">
        <v>-167</v>
      </c>
      <c r="M16" t="str" cm="1">
        <f t="array" ref="M16">_xlfn.IFS(G16&gt;I16,"Team A",H16&gt;J16,"Team B",TRUE,"No")</f>
        <v>No</v>
      </c>
    </row>
    <row r="17" spans="1:13" x14ac:dyDescent="0.35">
      <c r="A17" t="s">
        <v>48</v>
      </c>
      <c r="B17" t="s">
        <v>8</v>
      </c>
      <c r="C17" t="s">
        <v>5</v>
      </c>
      <c r="D17" t="s">
        <v>8</v>
      </c>
      <c r="E17" t="s">
        <v>8</v>
      </c>
      <c r="F17">
        <f t="shared" si="7"/>
        <v>1</v>
      </c>
      <c r="G17" s="4">
        <v>0.40400000000000003</v>
      </c>
      <c r="H17" s="1">
        <f t="shared" si="8"/>
        <v>0.59599999999999997</v>
      </c>
      <c r="I17" s="1">
        <f t="shared" si="9"/>
        <v>0.34482758620689657</v>
      </c>
      <c r="J17" s="1">
        <f t="shared" si="6"/>
        <v>0.72972972972972971</v>
      </c>
      <c r="K17" s="5">
        <v>190</v>
      </c>
      <c r="L17" s="5">
        <v>-270</v>
      </c>
      <c r="M17" t="str" cm="1">
        <f t="array" ref="M17">_xlfn.IFS(G17&gt;I17,"Team A",H17&gt;J17,"Team B",TRUE,"No")</f>
        <v>Team A</v>
      </c>
    </row>
    <row r="18" spans="1:13" x14ac:dyDescent="0.35">
      <c r="A18" t="s">
        <v>51</v>
      </c>
      <c r="B18" t="s">
        <v>30</v>
      </c>
      <c r="C18" t="s">
        <v>21</v>
      </c>
      <c r="D18" t="s">
        <v>51</v>
      </c>
      <c r="E18" t="s">
        <v>51</v>
      </c>
      <c r="F18">
        <f t="shared" si="7"/>
        <v>1</v>
      </c>
      <c r="G18" s="4">
        <v>0.53600000000000003</v>
      </c>
      <c r="H18" s="1">
        <f t="shared" si="8"/>
        <v>0.46399999999999997</v>
      </c>
      <c r="I18" s="1">
        <f t="shared" si="9"/>
        <v>1</v>
      </c>
      <c r="J18" s="1">
        <f t="shared" si="6"/>
        <v>1</v>
      </c>
      <c r="K18" s="5"/>
      <c r="L18" s="5"/>
      <c r="M18" t="str" cm="1">
        <f t="array" ref="M18">_xlfn.IFS(G18&gt;I18,"Team A",H18&gt;J18,"Team B",TRUE,"No")</f>
        <v>No</v>
      </c>
    </row>
    <row r="19" spans="1:13" x14ac:dyDescent="0.35">
      <c r="A19" t="s">
        <v>51</v>
      </c>
      <c r="B19" t="s">
        <v>30</v>
      </c>
      <c r="C19" t="s">
        <v>52</v>
      </c>
      <c r="D19" t="s">
        <v>30</v>
      </c>
      <c r="E19" t="s">
        <v>51</v>
      </c>
      <c r="F19">
        <f t="shared" si="7"/>
        <v>0</v>
      </c>
      <c r="G19" s="4">
        <v>0.48199999999999998</v>
      </c>
      <c r="H19" s="1">
        <f t="shared" si="8"/>
        <v>0.51800000000000002</v>
      </c>
      <c r="I19" s="1">
        <f t="shared" si="9"/>
        <v>1</v>
      </c>
      <c r="J19" s="1">
        <f t="shared" si="6"/>
        <v>1</v>
      </c>
      <c r="K19" s="6"/>
      <c r="L19" s="6"/>
      <c r="M19" t="str" cm="1">
        <f t="array" ref="M19">_xlfn.IFS(G19&gt;I19,"Team A",H19&gt;J19,"Team B",TRUE,"No")</f>
        <v>No</v>
      </c>
    </row>
    <row r="20" spans="1:13" x14ac:dyDescent="0.35">
      <c r="A20" t="s">
        <v>53</v>
      </c>
      <c r="B20" t="s">
        <v>9</v>
      </c>
      <c r="C20" t="s">
        <v>20</v>
      </c>
      <c r="D20" t="s">
        <v>9</v>
      </c>
      <c r="E20" t="s">
        <v>9</v>
      </c>
      <c r="F20">
        <f t="shared" si="7"/>
        <v>1</v>
      </c>
      <c r="G20" s="4">
        <v>0.38400000000000001</v>
      </c>
      <c r="H20" s="1">
        <f t="shared" si="8"/>
        <v>0.61599999999999999</v>
      </c>
      <c r="I20" s="1">
        <f t="shared" si="9"/>
        <v>1</v>
      </c>
      <c r="J20" s="1">
        <f t="shared" si="6"/>
        <v>1</v>
      </c>
      <c r="K20" s="6"/>
      <c r="L20" s="6"/>
      <c r="M20" t="str" cm="1">
        <f t="array" ref="M20">_xlfn.IFS(G20&gt;I20,"Team A",H20&gt;J20,"Team B",TRUE,"No")</f>
        <v>No</v>
      </c>
    </row>
    <row r="21" spans="1:13" x14ac:dyDescent="0.35">
      <c r="A21" t="s">
        <v>53</v>
      </c>
      <c r="B21" t="s">
        <v>9</v>
      </c>
      <c r="C21" t="s">
        <v>36</v>
      </c>
      <c r="D21" t="s">
        <v>9</v>
      </c>
      <c r="E21" t="s">
        <v>53</v>
      </c>
      <c r="F21">
        <f t="shared" si="7"/>
        <v>0</v>
      </c>
      <c r="G21" s="4">
        <v>0.39900000000000002</v>
      </c>
      <c r="H21" s="1">
        <f t="shared" si="8"/>
        <v>0.60099999999999998</v>
      </c>
      <c r="I21" s="1">
        <f t="shared" si="9"/>
        <v>1</v>
      </c>
      <c r="J21" s="1">
        <f t="shared" si="6"/>
        <v>1</v>
      </c>
      <c r="K21" s="6"/>
      <c r="L21" s="6"/>
      <c r="M21" t="str" cm="1">
        <f t="array" ref="M21">_xlfn.IFS(G21&gt;I21,"Team A",H21&gt;J21,"Team B",TRUE,"No")</f>
        <v>No</v>
      </c>
    </row>
    <row r="22" spans="1:13" x14ac:dyDescent="0.35">
      <c r="A22" t="s">
        <v>53</v>
      </c>
      <c r="B22" t="s">
        <v>9</v>
      </c>
      <c r="C22" t="s">
        <v>5</v>
      </c>
      <c r="D22" t="s">
        <v>9</v>
      </c>
      <c r="E22" t="s">
        <v>9</v>
      </c>
      <c r="F22">
        <f t="shared" si="7"/>
        <v>1</v>
      </c>
      <c r="G22" s="4">
        <v>0.38600000000000001</v>
      </c>
      <c r="H22" s="1">
        <f t="shared" si="8"/>
        <v>0.61399999999999999</v>
      </c>
      <c r="I22" s="1">
        <f t="shared" si="9"/>
        <v>1</v>
      </c>
      <c r="J22" s="1">
        <f t="shared" si="6"/>
        <v>1</v>
      </c>
      <c r="K22" s="6"/>
      <c r="L22" s="6"/>
      <c r="M22" t="str" cm="1">
        <f t="array" ref="M22">_xlfn.IFS(G22&gt;I22,"Team A",H22&gt;J22,"Team B",TRUE,"No")</f>
        <v>No</v>
      </c>
    </row>
    <row r="23" spans="1:13" x14ac:dyDescent="0.35">
      <c r="A23" t="s">
        <v>51</v>
      </c>
      <c r="B23" t="s">
        <v>38</v>
      </c>
      <c r="C23" t="s">
        <v>36</v>
      </c>
      <c r="D23" t="s">
        <v>38</v>
      </c>
      <c r="E23" t="s">
        <v>38</v>
      </c>
      <c r="F23">
        <f t="shared" si="7"/>
        <v>1</v>
      </c>
      <c r="G23" s="4">
        <v>0.44800000000000001</v>
      </c>
      <c r="H23" s="1">
        <f t="shared" si="8"/>
        <v>0.55200000000000005</v>
      </c>
      <c r="I23" s="1">
        <f t="shared" si="9"/>
        <v>1</v>
      </c>
      <c r="J23" s="1">
        <f t="shared" si="6"/>
        <v>1</v>
      </c>
      <c r="K23" s="6"/>
      <c r="L23" s="6"/>
      <c r="M23" t="str" cm="1">
        <f t="array" ref="M23">_xlfn.IFS(G23&gt;I23,"Team A",H23&gt;J23,"Team B",TRUE,"No")</f>
        <v>No</v>
      </c>
    </row>
    <row r="24" spans="1:13" x14ac:dyDescent="0.35">
      <c r="A24" t="s">
        <v>51</v>
      </c>
      <c r="B24" t="s">
        <v>38</v>
      </c>
      <c r="C24" t="s">
        <v>52</v>
      </c>
      <c r="D24" t="s">
        <v>38</v>
      </c>
      <c r="E24" t="s">
        <v>51</v>
      </c>
      <c r="F24">
        <f t="shared" si="7"/>
        <v>0</v>
      </c>
      <c r="G24" s="4">
        <v>0.44800000000000001</v>
      </c>
      <c r="H24" s="1">
        <f t="shared" si="8"/>
        <v>0.55200000000000005</v>
      </c>
      <c r="I24" s="1">
        <f t="shared" si="9"/>
        <v>0.5</v>
      </c>
      <c r="J24" s="1">
        <f t="shared" si="6"/>
        <v>0.57081545064377681</v>
      </c>
      <c r="K24" s="6">
        <v>-100</v>
      </c>
      <c r="L24" s="6">
        <v>-133</v>
      </c>
      <c r="M24" t="str" cm="1">
        <f t="array" ref="M24">_xlfn.IFS(G24&gt;I24,"Team A",H24&gt;J24,"Team B",TRUE,"No")</f>
        <v>No</v>
      </c>
    </row>
    <row r="25" spans="1:13" x14ac:dyDescent="0.35">
      <c r="A25" t="s">
        <v>51</v>
      </c>
      <c r="B25" t="s">
        <v>38</v>
      </c>
      <c r="C25" t="s">
        <v>5</v>
      </c>
      <c r="D25" t="s">
        <v>38</v>
      </c>
      <c r="E25" t="s">
        <v>51</v>
      </c>
      <c r="F25">
        <f t="shared" si="7"/>
        <v>0</v>
      </c>
      <c r="G25" s="4">
        <v>0.44500000000000001</v>
      </c>
      <c r="H25" s="1">
        <f t="shared" si="8"/>
        <v>0.55499999999999994</v>
      </c>
      <c r="I25" s="1">
        <f t="shared" ref="I25:I28" si="10">IF(K25&lt;0,(-K25)/((-K25)+100),100/(K25+100))</f>
        <v>1</v>
      </c>
      <c r="J25" s="1">
        <f t="shared" ref="J25:J28" si="11">IF(L25&lt;0,(-L25)/((-L25)+100),100/(L25+100))</f>
        <v>1</v>
      </c>
      <c r="K25" s="6"/>
      <c r="L25" s="6"/>
      <c r="M25" t="str" cm="1">
        <f t="array" ref="M25">_xlfn.IFS(G25&gt;I25,"Team A",H25&gt;J25,"Team B",TRUE,"No")</f>
        <v>No</v>
      </c>
    </row>
    <row r="26" spans="1:13" x14ac:dyDescent="0.35">
      <c r="A26" t="s">
        <v>8</v>
      </c>
      <c r="B26" t="s">
        <v>9</v>
      </c>
      <c r="C26" t="s">
        <v>20</v>
      </c>
      <c r="D26" t="s">
        <v>8</v>
      </c>
      <c r="E26" t="s">
        <v>9</v>
      </c>
      <c r="F26">
        <f t="shared" si="7"/>
        <v>0</v>
      </c>
      <c r="G26" s="4">
        <v>0.52200000000000002</v>
      </c>
      <c r="H26" s="1">
        <f t="shared" si="8"/>
        <v>0.47799999999999998</v>
      </c>
      <c r="I26" s="1">
        <f t="shared" si="10"/>
        <v>1</v>
      </c>
      <c r="J26" s="1">
        <f t="shared" si="11"/>
        <v>1</v>
      </c>
      <c r="K26" s="6"/>
      <c r="L26" s="6"/>
      <c r="M26" t="str" cm="1">
        <f t="array" ref="M26">_xlfn.IFS(G26&gt;I26,"Team A",H26&gt;J26,"Team B",TRUE,"No")</f>
        <v>No</v>
      </c>
    </row>
    <row r="27" spans="1:13" x14ac:dyDescent="0.35">
      <c r="A27" t="s">
        <v>8</v>
      </c>
      <c r="B27" t="s">
        <v>9</v>
      </c>
      <c r="C27" t="s">
        <v>31</v>
      </c>
      <c r="D27" t="s">
        <v>8</v>
      </c>
      <c r="E27" t="s">
        <v>9</v>
      </c>
      <c r="F27">
        <f t="shared" si="7"/>
        <v>0</v>
      </c>
      <c r="G27" s="4">
        <v>0.55900000000000005</v>
      </c>
      <c r="H27" s="1">
        <f t="shared" si="8"/>
        <v>0.44099999999999995</v>
      </c>
      <c r="I27" s="1">
        <f t="shared" si="10"/>
        <v>1</v>
      </c>
      <c r="J27" s="1">
        <f t="shared" si="11"/>
        <v>1</v>
      </c>
      <c r="K27" s="6"/>
      <c r="L27" s="6"/>
      <c r="M27" t="str" cm="1">
        <f t="array" ref="M27">_xlfn.IFS(G27&gt;I27,"Team A",H27&gt;J27,"Team B",TRUE,"No")</f>
        <v>No</v>
      </c>
    </row>
    <row r="28" spans="1:13" x14ac:dyDescent="0.35">
      <c r="A28" t="s">
        <v>38</v>
      </c>
      <c r="B28" t="s">
        <v>53</v>
      </c>
      <c r="C28" t="s">
        <v>21</v>
      </c>
      <c r="D28" t="s">
        <v>38</v>
      </c>
      <c r="E28" t="s">
        <v>38</v>
      </c>
      <c r="F28">
        <f t="shared" si="7"/>
        <v>1</v>
      </c>
      <c r="G28" s="4">
        <v>0.57099999999999995</v>
      </c>
      <c r="H28" s="1">
        <f t="shared" si="8"/>
        <v>0.42900000000000005</v>
      </c>
      <c r="I28" s="1">
        <f t="shared" si="10"/>
        <v>1</v>
      </c>
      <c r="J28" s="1">
        <f t="shared" si="11"/>
        <v>1</v>
      </c>
      <c r="K28" s="6"/>
      <c r="L28" s="6"/>
      <c r="M28" t="str" cm="1">
        <f t="array" ref="M28">_xlfn.IFS(G28&gt;I28,"Team A",H28&gt;J28,"Team B",TRUE,"No")</f>
        <v>No</v>
      </c>
    </row>
    <row r="29" spans="1:13" x14ac:dyDescent="0.35">
      <c r="A29" t="s">
        <v>38</v>
      </c>
      <c r="B29" t="s">
        <v>53</v>
      </c>
      <c r="C29" t="s">
        <v>34</v>
      </c>
      <c r="D29" t="s">
        <v>38</v>
      </c>
      <c r="E29" t="s">
        <v>38</v>
      </c>
      <c r="F29">
        <f t="shared" ref="F29:F55" si="12">IF(D29=E29,1,0)</f>
        <v>1</v>
      </c>
      <c r="G29" s="4">
        <v>0.60299999999999998</v>
      </c>
      <c r="H29" s="1">
        <f t="shared" ref="H29:H55" si="13">1-G29</f>
        <v>0.39700000000000002</v>
      </c>
      <c r="I29" s="1">
        <f t="shared" ref="I29:I55" si="14">IF(K29&lt;0,(-K29)/((-K29)+100),100/(K29+100))</f>
        <v>1</v>
      </c>
      <c r="J29" s="1">
        <f t="shared" ref="J29:J55" si="15">IF(L29&lt;0,(-L29)/((-L29)+100),100/(L29+100))</f>
        <v>1</v>
      </c>
      <c r="K29" s="6"/>
      <c r="L29" s="6"/>
      <c r="M29" t="str" cm="1">
        <f t="array" ref="M29">_xlfn.IFS(G29&gt;I29,"Team A",H29&gt;J29,"Team B",TRUE,"No")</f>
        <v>No</v>
      </c>
    </row>
    <row r="30" spans="1:13" x14ac:dyDescent="0.35">
      <c r="A30" t="s">
        <v>51</v>
      </c>
      <c r="B30" t="s">
        <v>9</v>
      </c>
      <c r="C30" t="s">
        <v>31</v>
      </c>
      <c r="D30" t="s">
        <v>51</v>
      </c>
      <c r="E30" t="s">
        <v>51</v>
      </c>
      <c r="F30">
        <f t="shared" si="12"/>
        <v>1</v>
      </c>
      <c r="G30" s="4">
        <v>0.57099999999999995</v>
      </c>
      <c r="H30" s="1">
        <f t="shared" si="13"/>
        <v>0.42900000000000005</v>
      </c>
      <c r="I30" s="1">
        <f t="shared" si="14"/>
        <v>1</v>
      </c>
      <c r="J30" s="1">
        <f t="shared" si="15"/>
        <v>1</v>
      </c>
      <c r="K30" s="6"/>
      <c r="L30" s="6"/>
      <c r="M30" t="str" cm="1">
        <f t="array" ref="M30">_xlfn.IFS(G30&gt;I30,"Team A",H30&gt;J30,"Team B",TRUE,"No")</f>
        <v>No</v>
      </c>
    </row>
    <row r="31" spans="1:13" x14ac:dyDescent="0.35">
      <c r="A31" t="s">
        <v>51</v>
      </c>
      <c r="B31" t="s">
        <v>9</v>
      </c>
      <c r="C31" t="s">
        <v>36</v>
      </c>
      <c r="D31" t="s">
        <v>9</v>
      </c>
      <c r="E31" t="s">
        <v>51</v>
      </c>
      <c r="F31">
        <f t="shared" si="12"/>
        <v>0</v>
      </c>
      <c r="G31" s="4">
        <v>0.51700000000000002</v>
      </c>
      <c r="H31" s="1">
        <f t="shared" si="13"/>
        <v>0.48299999999999998</v>
      </c>
      <c r="I31" s="1">
        <f t="shared" si="14"/>
        <v>1</v>
      </c>
      <c r="J31" s="1">
        <f t="shared" si="15"/>
        <v>1</v>
      </c>
      <c r="K31" s="6"/>
      <c r="L31" s="6"/>
      <c r="M31" t="str" cm="1">
        <f t="array" ref="M31">_xlfn.IFS(G31&gt;I31,"Team A",H31&gt;J31,"Team B",TRUE,"No")</f>
        <v>No</v>
      </c>
    </row>
    <row r="32" spans="1:13" x14ac:dyDescent="0.35">
      <c r="A32" t="s">
        <v>8</v>
      </c>
      <c r="B32" t="s">
        <v>38</v>
      </c>
      <c r="C32" t="s">
        <v>21</v>
      </c>
      <c r="D32" t="s">
        <v>38</v>
      </c>
      <c r="E32" t="s">
        <v>38</v>
      </c>
      <c r="F32">
        <f t="shared" si="12"/>
        <v>1</v>
      </c>
      <c r="G32" s="4">
        <v>0.439</v>
      </c>
      <c r="H32" s="1">
        <f t="shared" si="13"/>
        <v>0.56099999999999994</v>
      </c>
      <c r="I32" s="1">
        <f t="shared" si="14"/>
        <v>1</v>
      </c>
      <c r="J32" s="1">
        <f t="shared" si="15"/>
        <v>1</v>
      </c>
      <c r="K32" s="6"/>
      <c r="L32" s="6"/>
      <c r="M32" t="str" cm="1">
        <f t="array" ref="M32">_xlfn.IFS(G32&gt;I32,"Team A",H32&gt;J32,"Team B",TRUE,"No")</f>
        <v>No</v>
      </c>
    </row>
    <row r="33" spans="1:13" x14ac:dyDescent="0.35">
      <c r="A33" t="s">
        <v>8</v>
      </c>
      <c r="B33" t="s">
        <v>38</v>
      </c>
      <c r="C33" t="s">
        <v>34</v>
      </c>
      <c r="D33" t="s">
        <v>8</v>
      </c>
      <c r="E33" t="s">
        <v>8</v>
      </c>
      <c r="F33">
        <f t="shared" si="12"/>
        <v>1</v>
      </c>
      <c r="G33" s="4">
        <v>0.56299999999999994</v>
      </c>
      <c r="H33" s="1">
        <f t="shared" si="13"/>
        <v>0.43700000000000006</v>
      </c>
      <c r="I33" s="1">
        <f t="shared" si="14"/>
        <v>1</v>
      </c>
      <c r="J33" s="1">
        <f t="shared" si="15"/>
        <v>1</v>
      </c>
      <c r="K33" s="6"/>
      <c r="L33" s="6"/>
      <c r="M33" t="str" cm="1">
        <f t="array" ref="M33">_xlfn.IFS(G33&gt;I33,"Team A",H33&gt;J33,"Team B",TRUE,"No")</f>
        <v>No</v>
      </c>
    </row>
    <row r="34" spans="1:13" x14ac:dyDescent="0.35">
      <c r="A34" t="s">
        <v>8</v>
      </c>
      <c r="B34" t="s">
        <v>38</v>
      </c>
      <c r="C34" t="s">
        <v>52</v>
      </c>
      <c r="D34" t="s">
        <v>8</v>
      </c>
      <c r="E34" t="s">
        <v>8</v>
      </c>
      <c r="F34">
        <f t="shared" si="12"/>
        <v>1</v>
      </c>
      <c r="G34" s="4">
        <v>0.59099999999999997</v>
      </c>
      <c r="H34" s="1">
        <f t="shared" si="13"/>
        <v>0.40900000000000003</v>
      </c>
      <c r="I34" s="1">
        <f t="shared" si="14"/>
        <v>1</v>
      </c>
      <c r="J34" s="1">
        <f t="shared" si="15"/>
        <v>1</v>
      </c>
      <c r="K34" s="6"/>
      <c r="L34" s="6"/>
      <c r="M34" t="str" cm="1">
        <f t="array" ref="M34">_xlfn.IFS(G34&gt;I34,"Team A",H34&gt;J34,"Team B",TRUE,"No")</f>
        <v>No</v>
      </c>
    </row>
    <row r="35" spans="1:13" x14ac:dyDescent="0.35">
      <c r="A35" t="s">
        <v>9</v>
      </c>
      <c r="B35" t="s">
        <v>8</v>
      </c>
      <c r="C35" t="s">
        <v>20</v>
      </c>
      <c r="D35" t="s">
        <v>9</v>
      </c>
      <c r="E35" t="s">
        <v>9</v>
      </c>
      <c r="F35">
        <f t="shared" si="12"/>
        <v>1</v>
      </c>
      <c r="G35" s="4">
        <v>0.56200000000000006</v>
      </c>
      <c r="H35" s="1">
        <f t="shared" si="13"/>
        <v>0.43799999999999994</v>
      </c>
      <c r="I35" s="1">
        <f t="shared" si="14"/>
        <v>1</v>
      </c>
      <c r="J35" s="1">
        <f t="shared" si="15"/>
        <v>1</v>
      </c>
      <c r="K35" s="6"/>
      <c r="L35" s="6"/>
      <c r="M35" t="str" cm="1">
        <f t="array" ref="M35">_xlfn.IFS(G35&gt;I35,"Team A",H35&gt;J35,"Team B",TRUE,"No")</f>
        <v>No</v>
      </c>
    </row>
    <row r="36" spans="1:13" x14ac:dyDescent="0.35">
      <c r="A36" t="s">
        <v>9</v>
      </c>
      <c r="B36" t="s">
        <v>8</v>
      </c>
      <c r="C36" t="s">
        <v>5</v>
      </c>
      <c r="D36" t="s">
        <v>8</v>
      </c>
      <c r="E36" t="s">
        <v>8</v>
      </c>
      <c r="F36">
        <f t="shared" si="12"/>
        <v>1</v>
      </c>
      <c r="G36" s="4">
        <v>0.42499999999999999</v>
      </c>
      <c r="H36" s="1">
        <f t="shared" si="13"/>
        <v>0.57499999999999996</v>
      </c>
      <c r="I36" s="1">
        <f t="shared" si="14"/>
        <v>1</v>
      </c>
      <c r="J36" s="1">
        <f t="shared" si="15"/>
        <v>1</v>
      </c>
      <c r="K36" s="6"/>
      <c r="L36" s="6"/>
      <c r="M36" t="str" cm="1">
        <f t="array" ref="M36">_xlfn.IFS(G36&gt;I36,"Team A",H36&gt;J36,"Team B",TRUE,"No")</f>
        <v>No</v>
      </c>
    </row>
    <row r="37" spans="1:13" x14ac:dyDescent="0.35">
      <c r="A37" t="s">
        <v>9</v>
      </c>
      <c r="B37" t="s">
        <v>8</v>
      </c>
      <c r="C37" t="s">
        <v>52</v>
      </c>
      <c r="D37" t="s">
        <v>8</v>
      </c>
      <c r="E37" t="s">
        <v>8</v>
      </c>
      <c r="F37">
        <f t="shared" si="12"/>
        <v>1</v>
      </c>
      <c r="G37" s="4">
        <v>0.44700000000000001</v>
      </c>
      <c r="H37" s="1">
        <f t="shared" si="13"/>
        <v>0.55299999999999994</v>
      </c>
      <c r="I37" s="1">
        <f t="shared" si="14"/>
        <v>1</v>
      </c>
      <c r="J37" s="1">
        <f t="shared" si="15"/>
        <v>1</v>
      </c>
      <c r="K37" s="6"/>
      <c r="L37" s="6"/>
      <c r="M37" t="str" cm="1">
        <f t="array" ref="M37">_xlfn.IFS(G37&gt;I37,"Team A",H37&gt;J37,"Team B",TRUE,"No")</f>
        <v>No</v>
      </c>
    </row>
    <row r="38" spans="1:13" x14ac:dyDescent="0.35">
      <c r="A38" t="s">
        <v>9</v>
      </c>
      <c r="B38" t="s">
        <v>8</v>
      </c>
      <c r="C38" t="s">
        <v>34</v>
      </c>
      <c r="D38" t="s">
        <v>8</v>
      </c>
      <c r="E38" t="s">
        <v>8</v>
      </c>
      <c r="F38">
        <f t="shared" si="12"/>
        <v>1</v>
      </c>
      <c r="G38" s="4">
        <v>0.40899999999999997</v>
      </c>
      <c r="H38" s="1">
        <f t="shared" si="13"/>
        <v>0.59099999999999997</v>
      </c>
      <c r="I38" s="1">
        <f t="shared" si="14"/>
        <v>1</v>
      </c>
      <c r="J38" s="1">
        <f t="shared" si="15"/>
        <v>1</v>
      </c>
      <c r="K38" s="6"/>
      <c r="L38" s="6"/>
      <c r="M38" t="str" cm="1">
        <f t="array" ref="M38">_xlfn.IFS(G38&gt;I38,"Team A",H38&gt;J38,"Team B",TRUE,"No")</f>
        <v>No</v>
      </c>
    </row>
    <row r="39" spans="1:13" x14ac:dyDescent="0.35">
      <c r="A39" t="s">
        <v>51</v>
      </c>
      <c r="B39" t="s">
        <v>8</v>
      </c>
      <c r="C39" t="s">
        <v>52</v>
      </c>
      <c r="D39" t="s">
        <v>8</v>
      </c>
      <c r="E39" t="s">
        <v>51</v>
      </c>
      <c r="F39">
        <f t="shared" si="12"/>
        <v>0</v>
      </c>
      <c r="G39" s="4">
        <v>0.41399999999999998</v>
      </c>
      <c r="H39" s="1">
        <f t="shared" si="13"/>
        <v>0.58600000000000008</v>
      </c>
      <c r="I39" s="1">
        <f t="shared" si="14"/>
        <v>1</v>
      </c>
      <c r="J39" s="1">
        <f t="shared" si="15"/>
        <v>1</v>
      </c>
      <c r="K39" s="6"/>
      <c r="L39" s="6"/>
      <c r="M39" t="str" cm="1">
        <f t="array" ref="M39">_xlfn.IFS(G39&gt;I39,"Team A",H39&gt;J39,"Team B",TRUE,"No")</f>
        <v>No</v>
      </c>
    </row>
    <row r="40" spans="1:13" x14ac:dyDescent="0.35">
      <c r="A40" t="s">
        <v>51</v>
      </c>
      <c r="B40" t="s">
        <v>8</v>
      </c>
      <c r="C40" t="s">
        <v>5</v>
      </c>
      <c r="D40" t="s">
        <v>8</v>
      </c>
      <c r="E40" t="s">
        <v>51</v>
      </c>
      <c r="F40">
        <f t="shared" si="12"/>
        <v>0</v>
      </c>
      <c r="G40" s="4">
        <v>0.436</v>
      </c>
      <c r="H40" s="1">
        <f t="shared" si="13"/>
        <v>0.56400000000000006</v>
      </c>
      <c r="I40" s="1">
        <f t="shared" si="14"/>
        <v>1</v>
      </c>
      <c r="J40" s="1">
        <f t="shared" si="15"/>
        <v>1</v>
      </c>
      <c r="K40" s="6"/>
      <c r="L40" s="6"/>
      <c r="M40" t="str" cm="1">
        <f t="array" ref="M40">_xlfn.IFS(G40&gt;I40,"Team A",H40&gt;J40,"Team B",TRUE,"No")</f>
        <v>No</v>
      </c>
    </row>
    <row r="41" spans="1:13" x14ac:dyDescent="0.35">
      <c r="A41" t="s">
        <v>51</v>
      </c>
      <c r="B41" t="s">
        <v>8</v>
      </c>
      <c r="C41" t="s">
        <v>36</v>
      </c>
      <c r="D41" t="s">
        <v>8</v>
      </c>
      <c r="E41" t="s">
        <v>51</v>
      </c>
      <c r="F41">
        <f t="shared" si="12"/>
        <v>0</v>
      </c>
      <c r="G41" s="4">
        <v>0.42299999999999999</v>
      </c>
      <c r="H41" s="1">
        <f t="shared" si="13"/>
        <v>0.57699999999999996</v>
      </c>
      <c r="I41" s="1">
        <f t="shared" si="14"/>
        <v>1</v>
      </c>
      <c r="J41" s="1">
        <f t="shared" si="15"/>
        <v>1</v>
      </c>
      <c r="K41" s="6"/>
      <c r="L41" s="6"/>
      <c r="M41" t="str" cm="1">
        <f t="array" ref="M41">_xlfn.IFS(G41&gt;I41,"Team A",H41&gt;J41,"Team B",TRUE,"No")</f>
        <v>No</v>
      </c>
    </row>
    <row r="42" spans="1:13" x14ac:dyDescent="0.35">
      <c r="F42">
        <f t="shared" si="12"/>
        <v>1</v>
      </c>
      <c r="G42" s="4"/>
      <c r="H42" s="1">
        <f t="shared" si="13"/>
        <v>1</v>
      </c>
      <c r="I42" s="1">
        <f t="shared" si="14"/>
        <v>1</v>
      </c>
      <c r="J42" s="1">
        <f t="shared" si="15"/>
        <v>1</v>
      </c>
      <c r="K42" s="6"/>
      <c r="L42" s="6"/>
      <c r="M42" t="str" cm="1">
        <f t="array" ref="M42">_xlfn.IFS(G42&gt;I42,"Team A",H42&gt;J42,"Team B",TRUE,"No")</f>
        <v>No</v>
      </c>
    </row>
    <row r="43" spans="1:13" x14ac:dyDescent="0.35">
      <c r="F43">
        <f t="shared" si="12"/>
        <v>1</v>
      </c>
      <c r="G43" s="4"/>
      <c r="H43" s="1">
        <f t="shared" si="13"/>
        <v>1</v>
      </c>
      <c r="I43" s="1">
        <f t="shared" si="14"/>
        <v>1</v>
      </c>
      <c r="J43" s="1">
        <f t="shared" si="15"/>
        <v>1</v>
      </c>
      <c r="K43" s="6"/>
      <c r="L43" s="6"/>
      <c r="M43" t="str" cm="1">
        <f t="array" ref="M43">_xlfn.IFS(G43&gt;I43,"Team A",H43&gt;J43,"Team B",TRUE,"No")</f>
        <v>No</v>
      </c>
    </row>
    <row r="44" spans="1:13" x14ac:dyDescent="0.35">
      <c r="F44">
        <f t="shared" si="12"/>
        <v>1</v>
      </c>
      <c r="G44" s="4"/>
      <c r="H44" s="1">
        <f t="shared" si="13"/>
        <v>1</v>
      </c>
      <c r="I44" s="1">
        <f t="shared" si="14"/>
        <v>1</v>
      </c>
      <c r="J44" s="1">
        <f t="shared" si="15"/>
        <v>1</v>
      </c>
      <c r="K44" s="6"/>
      <c r="L44" s="6"/>
      <c r="M44" t="str" cm="1">
        <f t="array" ref="M44">_xlfn.IFS(G44&gt;I44,"Team A",H44&gt;J44,"Team B",TRUE,"No")</f>
        <v>No</v>
      </c>
    </row>
    <row r="45" spans="1:13" x14ac:dyDescent="0.35">
      <c r="F45">
        <f t="shared" si="12"/>
        <v>1</v>
      </c>
      <c r="G45" s="4"/>
      <c r="H45" s="1">
        <f t="shared" si="13"/>
        <v>1</v>
      </c>
      <c r="I45" s="1">
        <f t="shared" si="14"/>
        <v>1</v>
      </c>
      <c r="J45" s="1">
        <f t="shared" si="15"/>
        <v>1</v>
      </c>
      <c r="K45" s="6"/>
      <c r="L45" s="6"/>
      <c r="M45" t="str" cm="1">
        <f t="array" ref="M45">_xlfn.IFS(G45&gt;I45,"Team A",H45&gt;J45,"Team B",TRUE,"No")</f>
        <v>No</v>
      </c>
    </row>
    <row r="46" spans="1:13" x14ac:dyDescent="0.35">
      <c r="F46">
        <f t="shared" si="12"/>
        <v>1</v>
      </c>
      <c r="G46" s="4"/>
      <c r="H46" s="1">
        <f t="shared" si="13"/>
        <v>1</v>
      </c>
      <c r="I46" s="1">
        <f t="shared" si="14"/>
        <v>1</v>
      </c>
      <c r="J46" s="1">
        <f t="shared" si="15"/>
        <v>1</v>
      </c>
      <c r="K46" s="6"/>
      <c r="L46" s="6"/>
      <c r="M46" t="str" cm="1">
        <f t="array" ref="M46">_xlfn.IFS(G46&gt;I46,"Team A",H46&gt;J46,"Team B",TRUE,"No")</f>
        <v>No</v>
      </c>
    </row>
    <row r="47" spans="1:13" x14ac:dyDescent="0.35">
      <c r="F47">
        <f t="shared" si="12"/>
        <v>1</v>
      </c>
      <c r="G47" s="4"/>
      <c r="H47" s="1">
        <f t="shared" si="13"/>
        <v>1</v>
      </c>
      <c r="I47" s="1">
        <f t="shared" si="14"/>
        <v>1</v>
      </c>
      <c r="J47" s="1">
        <f t="shared" si="15"/>
        <v>1</v>
      </c>
      <c r="K47" s="6"/>
      <c r="L47" s="6"/>
      <c r="M47" t="str" cm="1">
        <f t="array" ref="M47">_xlfn.IFS(G47&gt;I47,"Team A",H47&gt;J47,"Team B",TRUE,"No")</f>
        <v>No</v>
      </c>
    </row>
    <row r="48" spans="1:13" x14ac:dyDescent="0.35">
      <c r="F48">
        <f t="shared" si="12"/>
        <v>1</v>
      </c>
      <c r="G48" s="4"/>
      <c r="H48" s="1">
        <f t="shared" si="13"/>
        <v>1</v>
      </c>
      <c r="I48" s="1">
        <f t="shared" si="14"/>
        <v>1</v>
      </c>
      <c r="J48" s="1">
        <f t="shared" si="15"/>
        <v>1</v>
      </c>
      <c r="K48" s="6"/>
      <c r="L48" s="6"/>
      <c r="M48" t="str" cm="1">
        <f t="array" ref="M48">_xlfn.IFS(G48&gt;I48,"Team A",H48&gt;J48,"Team B",TRUE,"No")</f>
        <v>No</v>
      </c>
    </row>
    <row r="49" spans="6:13" x14ac:dyDescent="0.35">
      <c r="F49">
        <f t="shared" si="12"/>
        <v>1</v>
      </c>
      <c r="G49" s="4"/>
      <c r="H49" s="1">
        <f t="shared" si="13"/>
        <v>1</v>
      </c>
      <c r="I49" s="1">
        <f t="shared" si="14"/>
        <v>1</v>
      </c>
      <c r="J49" s="1">
        <f t="shared" si="15"/>
        <v>1</v>
      </c>
      <c r="K49" s="6"/>
      <c r="L49" s="6"/>
      <c r="M49" t="str" cm="1">
        <f t="array" ref="M49">_xlfn.IFS(G49&gt;I49,"Team A",H49&gt;J49,"Team B",TRUE,"No")</f>
        <v>No</v>
      </c>
    </row>
    <row r="50" spans="6:13" x14ac:dyDescent="0.35">
      <c r="F50">
        <f t="shared" si="12"/>
        <v>1</v>
      </c>
      <c r="G50" s="4"/>
      <c r="H50" s="1">
        <f t="shared" si="13"/>
        <v>1</v>
      </c>
      <c r="I50" s="1">
        <f t="shared" si="14"/>
        <v>1</v>
      </c>
      <c r="J50" s="1">
        <f t="shared" si="15"/>
        <v>1</v>
      </c>
      <c r="K50" s="6"/>
      <c r="L50" s="6"/>
      <c r="M50" t="str" cm="1">
        <f t="array" ref="M50">_xlfn.IFS(G50&gt;I50,"Team A",H50&gt;J50,"Team B",TRUE,"No")</f>
        <v>No</v>
      </c>
    </row>
    <row r="51" spans="6:13" x14ac:dyDescent="0.35">
      <c r="F51">
        <f t="shared" si="12"/>
        <v>1</v>
      </c>
      <c r="G51" s="4"/>
      <c r="H51" s="1">
        <f t="shared" si="13"/>
        <v>1</v>
      </c>
      <c r="I51" s="1">
        <f t="shared" si="14"/>
        <v>1</v>
      </c>
      <c r="J51" s="1">
        <f t="shared" si="15"/>
        <v>1</v>
      </c>
      <c r="K51" s="6"/>
      <c r="L51" s="6"/>
      <c r="M51" t="str" cm="1">
        <f t="array" ref="M51">_xlfn.IFS(G51&gt;I51,"Team A",H51&gt;J51,"Team B",TRUE,"No")</f>
        <v>No</v>
      </c>
    </row>
    <row r="52" spans="6:13" x14ac:dyDescent="0.35">
      <c r="F52">
        <f t="shared" si="12"/>
        <v>1</v>
      </c>
      <c r="G52" s="4"/>
      <c r="H52" s="1">
        <f t="shared" si="13"/>
        <v>1</v>
      </c>
      <c r="I52" s="1">
        <f t="shared" si="14"/>
        <v>1</v>
      </c>
      <c r="J52" s="1">
        <f t="shared" si="15"/>
        <v>1</v>
      </c>
      <c r="K52" s="6"/>
      <c r="L52" s="6"/>
      <c r="M52" t="str" cm="1">
        <f t="array" ref="M52">_xlfn.IFS(G52&gt;I52,"Team A",H52&gt;J52,"Team B",TRUE,"No")</f>
        <v>No</v>
      </c>
    </row>
    <row r="53" spans="6:13" x14ac:dyDescent="0.35">
      <c r="F53">
        <f t="shared" si="12"/>
        <v>1</v>
      </c>
      <c r="G53" s="4"/>
      <c r="H53" s="1">
        <f t="shared" si="13"/>
        <v>1</v>
      </c>
      <c r="I53" s="1">
        <f t="shared" si="14"/>
        <v>1</v>
      </c>
      <c r="J53" s="1">
        <f t="shared" si="15"/>
        <v>1</v>
      </c>
      <c r="K53" s="6"/>
      <c r="L53" s="6"/>
      <c r="M53" t="str" cm="1">
        <f t="array" ref="M53">_xlfn.IFS(G53&gt;I53,"Team A",H53&gt;J53,"Team B",TRUE,"No")</f>
        <v>No</v>
      </c>
    </row>
    <row r="54" spans="6:13" x14ac:dyDescent="0.35">
      <c r="F54">
        <f t="shared" si="12"/>
        <v>1</v>
      </c>
      <c r="G54" s="4"/>
      <c r="H54" s="1">
        <f t="shared" si="13"/>
        <v>1</v>
      </c>
      <c r="I54" s="1">
        <f t="shared" si="14"/>
        <v>1</v>
      </c>
      <c r="J54" s="1">
        <f t="shared" si="15"/>
        <v>1</v>
      </c>
      <c r="K54" s="6"/>
      <c r="L54" s="6"/>
      <c r="M54" t="str" cm="1">
        <f t="array" ref="M54">_xlfn.IFS(G54&gt;I54,"Team A",H54&gt;J54,"Team B",TRUE,"No")</f>
        <v>No</v>
      </c>
    </row>
    <row r="55" spans="6:13" x14ac:dyDescent="0.35">
      <c r="F55">
        <f t="shared" si="12"/>
        <v>1</v>
      </c>
      <c r="G55" s="4"/>
      <c r="H55" s="1">
        <f t="shared" si="13"/>
        <v>1</v>
      </c>
      <c r="I55" s="1">
        <f t="shared" si="14"/>
        <v>1</v>
      </c>
      <c r="J55" s="1">
        <f t="shared" si="15"/>
        <v>1</v>
      </c>
      <c r="K55" s="6"/>
      <c r="L55" s="6"/>
      <c r="M55" t="str" cm="1">
        <f t="array" ref="M55">_xlfn.IFS(G55&gt;I55,"Team A",H55&gt;J55,"Team B",TRUE,"No")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C7C6-EC89-4D66-BAE5-8790237EF060}">
  <dimension ref="A1:I13"/>
  <sheetViews>
    <sheetView workbookViewId="0">
      <selection activeCell="D11" sqref="D11"/>
    </sheetView>
  </sheetViews>
  <sheetFormatPr defaultRowHeight="14.5" x14ac:dyDescent="0.35"/>
  <cols>
    <col min="2" max="2" width="10.1796875" bestFit="1" customWidth="1"/>
    <col min="3" max="3" width="15.90625" bestFit="1" customWidth="1"/>
    <col min="5" max="5" width="18.54296875" bestFit="1" customWidth="1"/>
    <col min="6" max="6" width="10.7265625" bestFit="1" customWidth="1"/>
    <col min="8" max="8" width="13.1796875" bestFit="1" customWidth="1"/>
  </cols>
  <sheetData>
    <row r="1" spans="1:9" x14ac:dyDescent="0.35">
      <c r="A1" t="s">
        <v>14</v>
      </c>
      <c r="B1" t="s">
        <v>15</v>
      </c>
      <c r="C1" t="s">
        <v>24</v>
      </c>
      <c r="D1" t="s">
        <v>16</v>
      </c>
      <c r="E1" t="s">
        <v>22</v>
      </c>
      <c r="F1" t="s">
        <v>44</v>
      </c>
    </row>
    <row r="2" spans="1:9" x14ac:dyDescent="0.35">
      <c r="A2">
        <v>1000</v>
      </c>
      <c r="B2">
        <v>100</v>
      </c>
      <c r="C2" s="3">
        <f>(100/(-Maps!K7)*Cashflow!B2)</f>
        <v>95.238095238095227</v>
      </c>
      <c r="D2">
        <v>-100</v>
      </c>
      <c r="E2" t="s">
        <v>23</v>
      </c>
      <c r="F2" t="s">
        <v>45</v>
      </c>
      <c r="H2" t="s">
        <v>25</v>
      </c>
      <c r="I2" t="s">
        <v>26</v>
      </c>
    </row>
    <row r="3" spans="1:9" x14ac:dyDescent="0.35">
      <c r="A3">
        <f>A2+D2</f>
        <v>900</v>
      </c>
      <c r="B3">
        <v>100</v>
      </c>
      <c r="C3" s="3">
        <f>(100/(-Maps!K8)*Cashflow!B3)</f>
        <v>95.238095238095227</v>
      </c>
      <c r="D3">
        <v>95</v>
      </c>
      <c r="E3" t="s">
        <v>29</v>
      </c>
      <c r="F3" t="s">
        <v>45</v>
      </c>
      <c r="H3" t="s">
        <v>27</v>
      </c>
      <c r="I3" t="s">
        <v>28</v>
      </c>
    </row>
    <row r="4" spans="1:9" x14ac:dyDescent="0.35">
      <c r="A4">
        <f>A3+D3</f>
        <v>995</v>
      </c>
      <c r="B4">
        <v>100</v>
      </c>
      <c r="C4" s="3">
        <f>(100/-Maps!L9)*B4</f>
        <v>84.745762711864401</v>
      </c>
      <c r="D4">
        <v>-100</v>
      </c>
      <c r="E4" t="s">
        <v>32</v>
      </c>
      <c r="F4" t="s">
        <v>46</v>
      </c>
    </row>
    <row r="5" spans="1:9" x14ac:dyDescent="0.35">
      <c r="A5">
        <f>A4+D4</f>
        <v>895</v>
      </c>
      <c r="B5">
        <v>100</v>
      </c>
      <c r="C5">
        <f>150/100*100</f>
        <v>150</v>
      </c>
      <c r="D5">
        <v>150</v>
      </c>
      <c r="E5" t="s">
        <v>33</v>
      </c>
      <c r="F5" t="s">
        <v>47</v>
      </c>
    </row>
    <row r="6" spans="1:9" x14ac:dyDescent="0.35">
      <c r="A6">
        <f>A5+D5</f>
        <v>1045</v>
      </c>
      <c r="B6">
        <v>100</v>
      </c>
      <c r="C6">
        <f>(124/100)*100</f>
        <v>124</v>
      </c>
      <c r="D6">
        <v>-100</v>
      </c>
      <c r="E6" t="s">
        <v>35</v>
      </c>
      <c r="F6" t="s">
        <v>46</v>
      </c>
    </row>
    <row r="7" spans="1:9" x14ac:dyDescent="0.35">
      <c r="A7">
        <f t="shared" ref="A7:A13" si="0">A6+D6</f>
        <v>945</v>
      </c>
      <c r="B7">
        <v>100</v>
      </c>
      <c r="C7">
        <f>(130/100)*100</f>
        <v>130</v>
      </c>
      <c r="D7">
        <v>-100</v>
      </c>
      <c r="E7" t="s">
        <v>37</v>
      </c>
      <c r="F7" t="s">
        <v>46</v>
      </c>
    </row>
    <row r="8" spans="1:9" x14ac:dyDescent="0.35">
      <c r="A8">
        <f t="shared" si="0"/>
        <v>845</v>
      </c>
      <c r="B8">
        <v>100</v>
      </c>
      <c r="C8">
        <v>104</v>
      </c>
      <c r="D8">
        <v>-100</v>
      </c>
      <c r="E8" t="s">
        <v>40</v>
      </c>
      <c r="F8" t="s">
        <v>39</v>
      </c>
    </row>
    <row r="9" spans="1:9" x14ac:dyDescent="0.35">
      <c r="A9">
        <f t="shared" si="0"/>
        <v>745</v>
      </c>
      <c r="B9">
        <v>100</v>
      </c>
      <c r="C9">
        <v>190</v>
      </c>
      <c r="D9">
        <v>190</v>
      </c>
      <c r="E9" t="s">
        <v>49</v>
      </c>
      <c r="F9" t="s">
        <v>48</v>
      </c>
    </row>
    <row r="10" spans="1:9" x14ac:dyDescent="0.35">
      <c r="A10">
        <f t="shared" si="0"/>
        <v>935</v>
      </c>
      <c r="B10">
        <v>100</v>
      </c>
      <c r="C10">
        <v>190</v>
      </c>
      <c r="D10">
        <v>-100</v>
      </c>
      <c r="E10" t="s">
        <v>50</v>
      </c>
      <c r="F10" t="s">
        <v>48</v>
      </c>
    </row>
    <row r="11" spans="1:9" x14ac:dyDescent="0.35">
      <c r="A11">
        <f t="shared" si="0"/>
        <v>835</v>
      </c>
    </row>
    <row r="12" spans="1:9" x14ac:dyDescent="0.35">
      <c r="A12">
        <f t="shared" si="0"/>
        <v>835</v>
      </c>
    </row>
    <row r="13" spans="1:9" x14ac:dyDescent="0.35">
      <c r="A13">
        <f t="shared" si="0"/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Maps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Luu</dc:creator>
  <cp:lastModifiedBy>Justin Luu</cp:lastModifiedBy>
  <dcterms:created xsi:type="dcterms:W3CDTF">2026-03-02T06:14:01Z</dcterms:created>
  <dcterms:modified xsi:type="dcterms:W3CDTF">2026-03-15T20:36:32Z</dcterms:modified>
</cp:coreProperties>
</file>