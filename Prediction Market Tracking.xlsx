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dl11\Desktop\VPM\"/>
    </mc:Choice>
  </mc:AlternateContent>
  <xr:revisionPtr revIDLastSave="0" documentId="13_ncr:1_{35CC718C-6382-474E-B5E3-505F733E11BB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Trade Log" sheetId="1" r:id="rId1"/>
    <sheet name="Dashboard" sheetId="2" r:id="rId2"/>
    <sheet name="Threshold Calculator" sheetId="3" r:id="rId3"/>
    <sheet name="Cashflow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B8" i="3"/>
  <c r="B29" i="3" l="1"/>
  <c r="B28" i="3"/>
  <c r="B27" i="3"/>
  <c r="B26" i="3"/>
  <c r="B25" i="3"/>
  <c r="B24" i="3"/>
  <c r="E20" i="3"/>
  <c r="D20" i="3"/>
  <c r="B20" i="3"/>
  <c r="E19" i="3"/>
  <c r="D19" i="3"/>
  <c r="B19" i="3"/>
  <c r="E18" i="3"/>
  <c r="D18" i="3"/>
  <c r="B18" i="3"/>
  <c r="E17" i="3"/>
  <c r="D17" i="3"/>
  <c r="B17" i="3"/>
  <c r="E16" i="3"/>
  <c r="D16" i="3"/>
  <c r="B16" i="3"/>
  <c r="E15" i="3"/>
  <c r="D15" i="3"/>
  <c r="B15" i="3"/>
  <c r="D11" i="3"/>
  <c r="B11" i="3"/>
  <c r="D10" i="3"/>
  <c r="B10" i="3"/>
  <c r="D8" i="3"/>
  <c r="E7" i="2"/>
  <c r="F7" i="2" s="1"/>
  <c r="E6" i="2"/>
  <c r="F6" i="2" s="1"/>
  <c r="E5" i="2"/>
  <c r="F5" i="2" s="1"/>
  <c r="E4" i="2"/>
  <c r="F4" i="2" s="1"/>
  <c r="B4" i="2"/>
  <c r="P53" i="1"/>
  <c r="O53" i="1"/>
  <c r="B56" i="4" s="1"/>
  <c r="C56" i="4" s="1"/>
  <c r="N53" i="1"/>
  <c r="O52" i="1"/>
  <c r="B55" i="4" s="1"/>
  <c r="C55" i="4" s="1"/>
  <c r="N52" i="1"/>
  <c r="P52" i="1" s="1"/>
  <c r="P51" i="1"/>
  <c r="O51" i="1"/>
  <c r="B54" i="4" s="1"/>
  <c r="C54" i="4" s="1"/>
  <c r="N51" i="1"/>
  <c r="O50" i="1"/>
  <c r="B53" i="4" s="1"/>
  <c r="C53" i="4" s="1"/>
  <c r="N50" i="1"/>
  <c r="P50" i="1" s="1"/>
  <c r="P49" i="1"/>
  <c r="O49" i="1"/>
  <c r="B52" i="4" s="1"/>
  <c r="C52" i="4" s="1"/>
  <c r="N49" i="1"/>
  <c r="O48" i="1"/>
  <c r="B51" i="4" s="1"/>
  <c r="C51" i="4" s="1"/>
  <c r="N48" i="1"/>
  <c r="P48" i="1" s="1"/>
  <c r="P47" i="1"/>
  <c r="O47" i="1"/>
  <c r="B50" i="4" s="1"/>
  <c r="C50" i="4" s="1"/>
  <c r="N47" i="1"/>
  <c r="O46" i="1"/>
  <c r="B49" i="4" s="1"/>
  <c r="C49" i="4" s="1"/>
  <c r="N46" i="1"/>
  <c r="P46" i="1" s="1"/>
  <c r="P45" i="1"/>
  <c r="O45" i="1"/>
  <c r="B48" i="4" s="1"/>
  <c r="C48" i="4" s="1"/>
  <c r="N45" i="1"/>
  <c r="O44" i="1"/>
  <c r="B47" i="4" s="1"/>
  <c r="C47" i="4" s="1"/>
  <c r="N44" i="1"/>
  <c r="P44" i="1" s="1"/>
  <c r="P43" i="1"/>
  <c r="O43" i="1"/>
  <c r="B46" i="4" s="1"/>
  <c r="C46" i="4" s="1"/>
  <c r="N43" i="1"/>
  <c r="O42" i="1"/>
  <c r="B45" i="4" s="1"/>
  <c r="C45" i="4" s="1"/>
  <c r="N42" i="1"/>
  <c r="P42" i="1" s="1"/>
  <c r="P41" i="1"/>
  <c r="O41" i="1"/>
  <c r="B44" i="4" s="1"/>
  <c r="C44" i="4" s="1"/>
  <c r="N41" i="1"/>
  <c r="O40" i="1"/>
  <c r="B43" i="4" s="1"/>
  <c r="C43" i="4" s="1"/>
  <c r="N40" i="1"/>
  <c r="P40" i="1" s="1"/>
  <c r="P39" i="1"/>
  <c r="O39" i="1"/>
  <c r="B42" i="4" s="1"/>
  <c r="C42" i="4" s="1"/>
  <c r="N39" i="1"/>
  <c r="O38" i="1"/>
  <c r="B41" i="4" s="1"/>
  <c r="C41" i="4" s="1"/>
  <c r="N38" i="1"/>
  <c r="P38" i="1" s="1"/>
  <c r="P37" i="1"/>
  <c r="O37" i="1"/>
  <c r="B40" i="4" s="1"/>
  <c r="C40" i="4" s="1"/>
  <c r="N37" i="1"/>
  <c r="O36" i="1"/>
  <c r="B39" i="4" s="1"/>
  <c r="C39" i="4" s="1"/>
  <c r="N36" i="1"/>
  <c r="P36" i="1" s="1"/>
  <c r="P35" i="1"/>
  <c r="O35" i="1"/>
  <c r="B38" i="4" s="1"/>
  <c r="C38" i="4" s="1"/>
  <c r="N35" i="1"/>
  <c r="O34" i="1"/>
  <c r="B37" i="4" s="1"/>
  <c r="C37" i="4" s="1"/>
  <c r="N34" i="1"/>
  <c r="P34" i="1" s="1"/>
  <c r="P33" i="1"/>
  <c r="O33" i="1"/>
  <c r="B36" i="4" s="1"/>
  <c r="C36" i="4" s="1"/>
  <c r="N33" i="1"/>
  <c r="O32" i="1"/>
  <c r="B35" i="4" s="1"/>
  <c r="C35" i="4" s="1"/>
  <c r="N32" i="1"/>
  <c r="P32" i="1" s="1"/>
  <c r="P31" i="1"/>
  <c r="O31" i="1"/>
  <c r="B34" i="4" s="1"/>
  <c r="C34" i="4" s="1"/>
  <c r="N31" i="1"/>
  <c r="O30" i="1"/>
  <c r="B33" i="4" s="1"/>
  <c r="C33" i="4" s="1"/>
  <c r="N30" i="1"/>
  <c r="P30" i="1" s="1"/>
  <c r="P29" i="1"/>
  <c r="O29" i="1"/>
  <c r="B32" i="4" s="1"/>
  <c r="C32" i="4" s="1"/>
  <c r="N29" i="1"/>
  <c r="O28" i="1"/>
  <c r="B31" i="4" s="1"/>
  <c r="C31" i="4" s="1"/>
  <c r="N28" i="1"/>
  <c r="P28" i="1" s="1"/>
  <c r="P27" i="1"/>
  <c r="O27" i="1"/>
  <c r="B30" i="4" s="1"/>
  <c r="C30" i="4" s="1"/>
  <c r="N27" i="1"/>
  <c r="O26" i="1"/>
  <c r="B29" i="4" s="1"/>
  <c r="C29" i="4" s="1"/>
  <c r="N26" i="1"/>
  <c r="P26" i="1" s="1"/>
  <c r="P25" i="1"/>
  <c r="O25" i="1"/>
  <c r="B28" i="4" s="1"/>
  <c r="C28" i="4" s="1"/>
  <c r="N25" i="1"/>
  <c r="O24" i="1"/>
  <c r="B27" i="4" s="1"/>
  <c r="C27" i="4" s="1"/>
  <c r="N24" i="1"/>
  <c r="P24" i="1" s="1"/>
  <c r="P23" i="1"/>
  <c r="O23" i="1"/>
  <c r="B26" i="4" s="1"/>
  <c r="C26" i="4" s="1"/>
  <c r="N23" i="1"/>
  <c r="O22" i="1"/>
  <c r="B25" i="4" s="1"/>
  <c r="C25" i="4" s="1"/>
  <c r="N22" i="1"/>
  <c r="P22" i="1" s="1"/>
  <c r="P21" i="1"/>
  <c r="O21" i="1"/>
  <c r="B24" i="4" s="1"/>
  <c r="C24" i="4" s="1"/>
  <c r="N21" i="1"/>
  <c r="O20" i="1"/>
  <c r="B23" i="4" s="1"/>
  <c r="C23" i="4" s="1"/>
  <c r="N20" i="1"/>
  <c r="P20" i="1" s="1"/>
  <c r="P19" i="1"/>
  <c r="O19" i="1"/>
  <c r="B22" i="4" s="1"/>
  <c r="C22" i="4" s="1"/>
  <c r="N19" i="1"/>
  <c r="O18" i="1"/>
  <c r="B21" i="4" s="1"/>
  <c r="C21" i="4" s="1"/>
  <c r="N18" i="1"/>
  <c r="P18" i="1" s="1"/>
  <c r="P17" i="1"/>
  <c r="O17" i="1"/>
  <c r="B20" i="4" s="1"/>
  <c r="C20" i="4" s="1"/>
  <c r="N17" i="1"/>
  <c r="O16" i="1"/>
  <c r="B19" i="4" s="1"/>
  <c r="C19" i="4" s="1"/>
  <c r="N16" i="1"/>
  <c r="P16" i="1" s="1"/>
  <c r="P15" i="1"/>
  <c r="O15" i="1"/>
  <c r="B18" i="4" s="1"/>
  <c r="C18" i="4" s="1"/>
  <c r="N15" i="1"/>
  <c r="O14" i="1"/>
  <c r="B17" i="4" s="1"/>
  <c r="C17" i="4" s="1"/>
  <c r="N14" i="1"/>
  <c r="P14" i="1" s="1"/>
  <c r="P13" i="1"/>
  <c r="O13" i="1"/>
  <c r="B16" i="4" s="1"/>
  <c r="C16" i="4" s="1"/>
  <c r="N13" i="1"/>
  <c r="O12" i="1"/>
  <c r="B15" i="4" s="1"/>
  <c r="C15" i="4" s="1"/>
  <c r="N12" i="1"/>
  <c r="P12" i="1" s="1"/>
  <c r="P11" i="1"/>
  <c r="O11" i="1"/>
  <c r="B14" i="4" s="1"/>
  <c r="C14" i="4" s="1"/>
  <c r="N11" i="1"/>
  <c r="O10" i="1"/>
  <c r="B13" i="4" s="1"/>
  <c r="C13" i="4" s="1"/>
  <c r="N10" i="1"/>
  <c r="P10" i="1" s="1"/>
  <c r="P9" i="1"/>
  <c r="O9" i="1"/>
  <c r="B12" i="4" s="1"/>
  <c r="C12" i="4" s="1"/>
  <c r="N9" i="1"/>
  <c r="O8" i="1"/>
  <c r="B11" i="4" s="1"/>
  <c r="C11" i="4" s="1"/>
  <c r="N8" i="1"/>
  <c r="P8" i="1" s="1"/>
  <c r="P7" i="1"/>
  <c r="O7" i="1"/>
  <c r="B10" i="4" s="1"/>
  <c r="C10" i="4" s="1"/>
  <c r="N7" i="1"/>
  <c r="O6" i="1"/>
  <c r="B9" i="4" s="1"/>
  <c r="C9" i="4" s="1"/>
  <c r="N6" i="1"/>
  <c r="P6" i="1" s="1"/>
  <c r="O5" i="1"/>
  <c r="B8" i="4" s="1"/>
  <c r="C8" i="4" s="1"/>
  <c r="N5" i="1"/>
  <c r="P5" i="1" s="1"/>
  <c r="O4" i="1"/>
  <c r="B7" i="4" s="1"/>
  <c r="C7" i="4" s="1"/>
  <c r="D7" i="4" s="1"/>
  <c r="N4" i="1"/>
  <c r="G4" i="1"/>
  <c r="B5" i="2" l="1"/>
  <c r="B10" i="2" s="1"/>
  <c r="B13" i="2"/>
  <c r="B12" i="2"/>
  <c r="B15" i="2"/>
  <c r="B16" i="2"/>
  <c r="D8" i="4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A7" i="4"/>
  <c r="A9" i="4"/>
  <c r="A11" i="4"/>
  <c r="A13" i="4"/>
  <c r="A15" i="4"/>
  <c r="A17" i="4"/>
  <c r="A19" i="4"/>
  <c r="A21" i="4"/>
  <c r="A23" i="4"/>
  <c r="A25" i="4"/>
  <c r="A27" i="4"/>
  <c r="A29" i="4"/>
  <c r="A31" i="4"/>
  <c r="A33" i="4"/>
  <c r="A35" i="4"/>
  <c r="A37" i="4"/>
  <c r="A39" i="4"/>
  <c r="A41" i="4"/>
  <c r="A43" i="4"/>
  <c r="A45" i="4"/>
  <c r="A47" i="4"/>
  <c r="A49" i="4"/>
  <c r="A51" i="4"/>
  <c r="A53" i="4"/>
  <c r="A55" i="4"/>
  <c r="B9" i="2"/>
  <c r="A8" i="4"/>
  <c r="A10" i="4"/>
  <c r="A12" i="4"/>
  <c r="A14" i="4"/>
  <c r="A16" i="4"/>
  <c r="A18" i="4"/>
  <c r="A20" i="4"/>
  <c r="A22" i="4"/>
  <c r="A24" i="4"/>
  <c r="A26" i="4"/>
  <c r="A28" i="4"/>
  <c r="A30" i="4"/>
  <c r="A32" i="4"/>
  <c r="A34" i="4"/>
  <c r="A36" i="4"/>
  <c r="A38" i="4"/>
  <c r="A40" i="4"/>
  <c r="A42" i="4"/>
  <c r="A44" i="4"/>
  <c r="A46" i="4"/>
  <c r="A48" i="4"/>
  <c r="A50" i="4"/>
  <c r="A52" i="4"/>
  <c r="A54" i="4"/>
  <c r="A56" i="4"/>
  <c r="B6" i="2"/>
  <c r="B11" i="2" s="1"/>
  <c r="P4" i="1"/>
  <c r="B7" i="2" l="1"/>
</calcChain>
</file>

<file path=xl/sharedStrings.xml><?xml version="1.0" encoding="utf-8"?>
<sst xmlns="http://schemas.openxmlformats.org/spreadsheetml/2006/main" count="107" uniqueCount="88">
  <si>
    <t>VALORANT PAPER TRADE LOG</t>
  </si>
  <si>
    <t>Trade #</t>
  </si>
  <si>
    <t>Date</t>
  </si>
  <si>
    <t>Match</t>
  </si>
  <si>
    <t>Map</t>
  </si>
  <si>
    <t>Model Prob</t>
  </si>
  <si>
    <t>Market Price</t>
  </si>
  <si>
    <t>Edge</t>
  </si>
  <si>
    <t>Entry Price</t>
  </si>
  <si>
    <t>Highest Price</t>
  </si>
  <si>
    <t>Lowest Price</t>
  </si>
  <si>
    <t>Exit Price</t>
  </si>
  <si>
    <t>Exit Round</t>
  </si>
  <si>
    <t>Exit Reason</t>
  </si>
  <si>
    <t>P/L (cents)</t>
  </si>
  <si>
    <t>P/L (%)</t>
  </si>
  <si>
    <t>Running P/L</t>
  </si>
  <si>
    <t>PERFORMANCE DASHBOARD</t>
  </si>
  <si>
    <t>Metric</t>
  </si>
  <si>
    <t>Value</t>
  </si>
  <si>
    <t>Count</t>
  </si>
  <si>
    <t>Avg P/L</t>
  </si>
  <si>
    <t>Total Trades</t>
  </si>
  <si>
    <t>Trailing Stop</t>
  </si>
  <si>
    <t>Winning Trades</t>
  </si>
  <si>
    <t>Time Exit</t>
  </si>
  <si>
    <t>Losing Trades</t>
  </si>
  <si>
    <t>Catastrophic Stop</t>
  </si>
  <si>
    <t>Win Rate</t>
  </si>
  <si>
    <t>Breakeven Exit</t>
  </si>
  <si>
    <t>Total P/L (cents)</t>
  </si>
  <si>
    <t>Avg Win (cents)</t>
  </si>
  <si>
    <t>Avg Loss (cents)</t>
  </si>
  <si>
    <t>Largest Win</t>
  </si>
  <si>
    <t>Largest Loss</t>
  </si>
  <si>
    <t>Avg Edge at Entry</t>
  </si>
  <si>
    <t>Avg P/L %</t>
  </si>
  <si>
    <t>LIVE THRESHOLD CALCULATOR</t>
  </si>
  <si>
    <t>ENTRY PRICE (cents):</t>
  </si>
  <si>
    <t>CURRENT PEAK (cents):</t>
  </si>
  <si>
    <t>PHASE 1 — ROUNDS 1-4 (Upside Only)</t>
  </si>
  <si>
    <t>Condition</t>
  </si>
  <si>
    <t>Threshold Price</t>
  </si>
  <si>
    <t>Floor Moves To</t>
  </si>
  <si>
    <t>Floor Value</t>
  </si>
  <si>
    <t>Sell?</t>
  </si>
  <si>
    <t>Catastrophic Stop (-30%)</t>
  </si>
  <si>
    <t>Emergency exit</t>
  </si>
  <si>
    <t>YES - sell immediately</t>
  </si>
  <si>
    <t>Price drops (above -30%)</t>
  </si>
  <si>
    <t>N/A</t>
  </si>
  <si>
    <t>No change</t>
  </si>
  <si>
    <t>NO - Phase 1 holds</t>
  </si>
  <si>
    <t>Price hits +10%</t>
  </si>
  <si>
    <t>Entry (breakeven)</t>
  </si>
  <si>
    <t>NO - floor moves up only</t>
  </si>
  <si>
    <t>Price hits +20%</t>
  </si>
  <si>
    <t>+10% above entry</t>
  </si>
  <si>
    <t>PHASE 2 — ROUND 5+ (Active Management)</t>
  </si>
  <si>
    <t>Position At</t>
  </si>
  <si>
    <t>Floor Description</t>
  </si>
  <si>
    <t>Sell Trigger</t>
  </si>
  <si>
    <t>Below +10%</t>
  </si>
  <si>
    <t>Entry - 15%</t>
  </si>
  <si>
    <t>+20% above entry</t>
  </si>
  <si>
    <t>+30% above entry</t>
  </si>
  <si>
    <t>Peak × 0.9</t>
  </si>
  <si>
    <t>+40% above entry</t>
  </si>
  <si>
    <t>+50% above entry</t>
  </si>
  <si>
    <t>QUICK REFERENCE — Key Prices for This Trade</t>
  </si>
  <si>
    <t>Price Level</t>
  </si>
  <si>
    <t>Value (cents)</t>
  </si>
  <si>
    <t>Catastrophic Stop (sell immediately)</t>
  </si>
  <si>
    <t>Phase 2 Stop-Loss</t>
  </si>
  <si>
    <t>Breakeven Floor</t>
  </si>
  <si>
    <t>+10% Threshold</t>
  </si>
  <si>
    <t>+20% Threshold</t>
  </si>
  <si>
    <t>Current Trailing Floor (if past +20%)</t>
  </si>
  <si>
    <t>CASHFLOW TRACKER</t>
  </si>
  <si>
    <t>Starting Balance ($):</t>
  </si>
  <si>
    <t>Bet Size ($):</t>
  </si>
  <si>
    <t>P/L ($)</t>
  </si>
  <si>
    <t>Balance</t>
  </si>
  <si>
    <t>3/6/2026</t>
  </si>
  <si>
    <t>Furia vs PRX</t>
  </si>
  <si>
    <t>Haven</t>
  </si>
  <si>
    <t>Breeze</t>
  </si>
  <si>
    <t>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</si>
</sst>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.00"/>
  </numFmts>
  <fonts count="10" x14ac:knownFonts="1">
    <font>
      <sz val="11"/>
      <color theme="1"/>
      <name val="Calibri"/>
      <family val="2"/>
      <charset val="1"/>
    </font>
    <font>
      <b/>
      <sz val="14"/>
      <color rgb="FF1E3A5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14"/>
      <color rgb="FF0000FF"/>
      <name val="Arial"/>
      <charset val="1"/>
    </font>
    <font>
      <b/>
      <sz val="11"/>
      <color rgb="FF1E3A5F"/>
      <name val="Arial"/>
      <charset val="1"/>
    </font>
    <font>
      <b/>
      <sz val="11"/>
      <name val="Arial"/>
      <charset val="1"/>
    </font>
    <font>
      <b/>
      <sz val="12"/>
      <color rgb="FF0000F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E3A5F"/>
        <bgColor rgb="FF333399"/>
      </patternFill>
    </fill>
    <fill>
      <patternFill patternType="solid">
        <fgColor rgb="FFF5F5F5"/>
        <bgColor rgb="FFE8F5E9"/>
      </patternFill>
    </fill>
    <fill>
      <patternFill patternType="solid">
        <fgColor rgb="FFFFF9C4"/>
        <bgColor rgb="FFFFF3E0"/>
      </patternFill>
    </fill>
    <fill>
      <patternFill patternType="solid">
        <fgColor rgb="FFE65100"/>
        <bgColor rgb="FF993300"/>
      </patternFill>
    </fill>
    <fill>
      <patternFill patternType="solid">
        <fgColor rgb="FFFFEBEE"/>
        <bgColor rgb="FFFFF3E0"/>
      </patternFill>
    </fill>
    <fill>
      <patternFill patternType="solid">
        <fgColor rgb="FFE8F5E9"/>
        <bgColor rgb="FFF5F5F5"/>
      </patternFill>
    </fill>
    <fill>
      <patternFill patternType="solid">
        <fgColor rgb="FF1B5E20"/>
        <bgColor rgb="FF006100"/>
      </patternFill>
    </fill>
    <fill>
      <patternFill patternType="solid">
        <fgColor rgb="FFFFF3E0"/>
        <bgColor rgb="FFFFEBE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3" fillId="6" borderId="1" xfId="0" applyNumberFormat="1" applyFont="1" applyFill="1" applyBorder="1" applyAlignment="1">
      <alignment horizontal="center" vertical="center" wrapText="1"/>
    </xf>
    <xf numFmtId="2" fontId="3" fillId="7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2" fontId="5" fillId="9" borderId="1" xfId="0" applyNumberFormat="1" applyFont="1" applyFill="1" applyBorder="1" applyAlignment="1">
      <alignment horizontal="center" vertical="center" wrapText="1"/>
    </xf>
    <xf numFmtId="2" fontId="8" fillId="4" borderId="1" xfId="0" applyNumberFormat="1" applyFont="1" applyFill="1" applyBorder="1" applyAlignment="1">
      <alignment horizontal="center" vertical="center" wrapText="1"/>
    </xf>
    <xf numFmtId="165" fontId="9" fillId="4" borderId="1" xfId="0" applyNumberFormat="1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EBEE"/>
        </patternFill>
      </fill>
    </dxf>
    <dxf>
      <font>
        <color rgb="FF006100"/>
      </font>
      <fill>
        <patternFill>
          <bgColor rgb="FFE8F5E9"/>
        </patternFill>
      </fill>
    </dxf>
    <dxf>
      <font>
        <color rgb="FF9C0006"/>
      </font>
      <fill>
        <patternFill>
          <bgColor rgb="FFFFEBEE"/>
        </patternFill>
      </fill>
    </dxf>
    <dxf>
      <font>
        <color rgb="FF006100"/>
      </font>
      <fill>
        <patternFill>
          <bgColor rgb="FFE8F5E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FEBEE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1B5E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zoomScaleNormal="100" workbookViewId="0">
      <pane ySplit="3" topLeftCell="A4" activePane="bottomLeft" state="frozen"/>
      <selection pane="bottomLeft" activeCell="C7" sqref="C7"/>
    </sheetView>
  </sheetViews>
  <sheetFormatPr defaultColWidth="8.6328125" defaultRowHeight="14.5" x14ac:dyDescent="0.35"/>
  <cols>
    <col min="1" max="1" width="8" customWidth="1"/>
    <col min="2" max="2" width="8.453125" customWidth="1"/>
    <col min="3" max="3" width="25" customWidth="1"/>
    <col min="4" max="6" width="12" customWidth="1"/>
    <col min="7" max="7" width="10" customWidth="1"/>
    <col min="8" max="11" width="12" customWidth="1"/>
    <col min="12" max="12" width="10" customWidth="1"/>
    <col min="13" max="13" width="18" customWidth="1"/>
    <col min="14" max="14" width="12" customWidth="1"/>
    <col min="15" max="15" width="10" customWidth="1"/>
    <col min="16" max="16" width="12" customWidth="1"/>
  </cols>
  <sheetData>
    <row r="1" spans="1:16" ht="30" customHeight="1" x14ac:dyDescent="0.3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3" spans="1:16" ht="26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</row>
    <row r="4" spans="1:16" x14ac:dyDescent="0.35">
      <c r="A4" s="3">
        <v>1</v>
      </c>
      <c r="B4" s="4" t="s">
        <v>83</v>
      </c>
      <c r="C4" s="4" t="s">
        <v>84</v>
      </c>
      <c r="D4" s="4" t="s">
        <v>85</v>
      </c>
      <c r="E4" s="5">
        <v>0.39200000000000002</v>
      </c>
      <c r="F4" s="6">
        <v>0.3</v>
      </c>
      <c r="G4" s="7">
        <f t="shared" ref="G4:G53" si="0">IF(E4="","",E4-F4)</f>
        <v>9.2000000000000026E-2</v>
      </c>
      <c r="H4" s="6">
        <v>0.3</v>
      </c>
      <c r="I4" s="6"/>
      <c r="J4" s="6"/>
      <c r="K4" s="6">
        <v>0.21</v>
      </c>
      <c r="L4" s="4">
        <v>5</v>
      </c>
      <c r="M4" s="4" t="s">
        <v>27</v>
      </c>
      <c r="N4" s="8">
        <f t="shared" ref="N4:N35" si="1">IF(OR(K4="",H4=""),"",K4-H4)</f>
        <v>-0.09</v>
      </c>
      <c r="O4" s="7">
        <f t="shared" ref="O4:O35" si="2">IF(OR(K4="",H4=""),"",(K4-H4)/H4)</f>
        <v>-0.3</v>
      </c>
      <c r="P4" s="8">
        <f>IF(N4="","",SUM(N$4:N4))</f>
        <v>-0.09</v>
      </c>
    </row>
    <row r="5" spans="1:16" x14ac:dyDescent="0.35">
      <c r="A5" s="9">
        <v>2</v>
      </c>
      <c r="B5" s="10" t="s">
        <v>83</v>
      </c>
      <c r="C5" s="10" t="s">
        <v>84</v>
      </c>
      <c r="D5" s="10" t="s">
        <v>86</v>
      </c>
      <c r="E5" s="11">
        <v>0.61199999999999999</v>
      </c>
      <c r="F5" s="12">
        <v>0.6</v>
      </c>
      <c r="G5" s="13">
        <f>IF(E5="","",E5-F5)</f>
        <v>1.2000000000000011E-2</v>
      </c>
      <c r="H5" s="12">
        <v>0.6</v>
      </c>
      <c r="I5" s="12"/>
      <c r="J5" s="12"/>
      <c r="K5" s="12">
        <v>1</v>
      </c>
      <c r="L5" s="10">
        <v>17</v>
      </c>
      <c r="M5" s="10" t="s">
        <v>25</v>
      </c>
      <c r="N5" s="14">
        <f t="shared" si="1"/>
        <v>0.4</v>
      </c>
      <c r="O5" s="13">
        <f t="shared" si="2"/>
        <v>0.66666666666666674</v>
      </c>
      <c r="P5" s="14">
        <f>IF(N5="","",SUM(N$4:N5))</f>
        <v>0.31000000000000005</v>
      </c>
    </row>
    <row r="6" spans="1:16" x14ac:dyDescent="0.35">
      <c r="A6" s="3">
        <v>3</v>
      </c>
      <c r="B6" s="4" t="s">
        <v>83</v>
      </c>
      <c r="C6" s="4" t="s">
        <v>84</v>
      </c>
      <c r="D6" s="4" t="s">
        <v>87</v>
      </c>
      <c r="E6" s="5">
        <v>0.40400000000000003</v>
      </c>
      <c r="F6" s="6">
        <v>0.35</v>
      </c>
      <c r="G6" s="7">
        <f t="shared" si="0"/>
        <v>5.4000000000000048E-2</v>
      </c>
      <c r="H6" s="6">
        <v>0.35</v>
      </c>
      <c r="I6" s="6"/>
      <c r="J6" s="6"/>
      <c r="K6" s="6">
        <v>0.64800000000000002</v>
      </c>
      <c r="L6" s="4">
        <v>10</v>
      </c>
      <c r="M6" s="4" t="s">
        <v>23</v>
      </c>
      <c r="N6" s="8">
        <f t="shared" si="1"/>
        <v>0.29800000000000004</v>
      </c>
      <c r="O6" s="7">
        <f t="shared" si="2"/>
        <v>0.85142857142857165</v>
      </c>
      <c r="P6" s="8">
        <f>IF(N6="","",SUM(N$4:N6))</f>
        <v>0.6080000000000001</v>
      </c>
    </row>
    <row r="7" spans="1:16" x14ac:dyDescent="0.35">
      <c r="A7" s="9">
        <v>4</v>
      </c>
      <c r="B7" s="10"/>
      <c r="C7" s="10"/>
      <c r="D7" s="10"/>
      <c r="E7" s="11"/>
      <c r="F7" s="12"/>
      <c r="G7" s="13" t="str">
        <f t="shared" si="0"/>
        <v/>
      </c>
      <c r="H7" s="12"/>
      <c r="I7" s="12"/>
      <c r="J7" s="12"/>
      <c r="K7" s="12"/>
      <c r="L7" s="10"/>
      <c r="M7" s="10"/>
      <c r="N7" s="14" t="str">
        <f t="shared" si="1"/>
        <v/>
      </c>
      <c r="O7" s="13" t="str">
        <f t="shared" si="2"/>
        <v/>
      </c>
      <c r="P7" s="14" t="str">
        <f>IF(N7="","",SUM(N$4:N7))</f>
        <v/>
      </c>
    </row>
    <row r="8" spans="1:16" x14ac:dyDescent="0.35">
      <c r="A8" s="3">
        <v>5</v>
      </c>
      <c r="B8" s="4"/>
      <c r="C8" s="4"/>
      <c r="D8" s="4"/>
      <c r="E8" s="5"/>
      <c r="F8" s="6"/>
      <c r="G8" s="7" t="str">
        <f t="shared" si="0"/>
        <v/>
      </c>
      <c r="H8" s="6"/>
      <c r="I8" s="6"/>
      <c r="J8" s="6"/>
      <c r="K8" s="6"/>
      <c r="L8" s="4"/>
      <c r="M8" s="4"/>
      <c r="N8" s="8" t="str">
        <f t="shared" si="1"/>
        <v/>
      </c>
      <c r="O8" s="7" t="str">
        <f t="shared" si="2"/>
        <v/>
      </c>
      <c r="P8" s="8" t="str">
        <f>IF(N8="","",SUM(N$4:N8))</f>
        <v/>
      </c>
    </row>
    <row r="9" spans="1:16" x14ac:dyDescent="0.35">
      <c r="A9" s="9">
        <v>6</v>
      </c>
      <c r="B9" s="10"/>
      <c r="C9" s="10"/>
      <c r="D9" s="10"/>
      <c r="E9" s="11"/>
      <c r="F9" s="12"/>
      <c r="G9" s="13" t="str">
        <f t="shared" si="0"/>
        <v/>
      </c>
      <c r="H9" s="12"/>
      <c r="I9" s="12"/>
      <c r="J9" s="12"/>
      <c r="K9" s="12"/>
      <c r="L9" s="10"/>
      <c r="M9" s="10"/>
      <c r="N9" s="14" t="str">
        <f t="shared" si="1"/>
        <v/>
      </c>
      <c r="O9" s="13" t="str">
        <f t="shared" si="2"/>
        <v/>
      </c>
      <c r="P9" s="14" t="str">
        <f>IF(N9="","",SUM(N$4:N9))</f>
        <v/>
      </c>
    </row>
    <row r="10" spans="1:16" x14ac:dyDescent="0.35">
      <c r="A10" s="3">
        <v>7</v>
      </c>
      <c r="B10" s="4"/>
      <c r="C10" s="4"/>
      <c r="D10" s="4"/>
      <c r="E10" s="5"/>
      <c r="F10" s="6"/>
      <c r="G10" s="7" t="str">
        <f t="shared" si="0"/>
        <v/>
      </c>
      <c r="H10" s="6"/>
      <c r="I10" s="6"/>
      <c r="J10" s="6"/>
      <c r="K10" s="6"/>
      <c r="L10" s="4"/>
      <c r="M10" s="4"/>
      <c r="N10" s="8" t="str">
        <f t="shared" si="1"/>
        <v/>
      </c>
      <c r="O10" s="7" t="str">
        <f t="shared" si="2"/>
        <v/>
      </c>
      <c r="P10" s="8" t="str">
        <f>IF(N10="","",SUM(N$4:N10))</f>
        <v/>
      </c>
    </row>
    <row r="11" spans="1:16" x14ac:dyDescent="0.35">
      <c r="A11" s="9">
        <v>8</v>
      </c>
      <c r="B11" s="10"/>
      <c r="C11" s="10"/>
      <c r="D11" s="10"/>
      <c r="E11" s="11"/>
      <c r="F11" s="12"/>
      <c r="G11" s="13" t="str">
        <f t="shared" si="0"/>
        <v/>
      </c>
      <c r="H11" s="12"/>
      <c r="I11" s="12"/>
      <c r="J11" s="12"/>
      <c r="K11" s="12"/>
      <c r="L11" s="10"/>
      <c r="M11" s="10"/>
      <c r="N11" s="14" t="str">
        <f t="shared" si="1"/>
        <v/>
      </c>
      <c r="O11" s="13" t="str">
        <f t="shared" si="2"/>
        <v/>
      </c>
      <c r="P11" s="14" t="str">
        <f>IF(N11="","",SUM(N$4:N11))</f>
        <v/>
      </c>
    </row>
    <row r="12" spans="1:16" x14ac:dyDescent="0.35">
      <c r="A12" s="3">
        <v>9</v>
      </c>
      <c r="B12" s="4"/>
      <c r="C12" s="4"/>
      <c r="D12" s="4"/>
      <c r="E12" s="5"/>
      <c r="F12" s="6"/>
      <c r="G12" s="7" t="str">
        <f t="shared" si="0"/>
        <v/>
      </c>
      <c r="H12" s="6"/>
      <c r="I12" s="6"/>
      <c r="J12" s="6"/>
      <c r="K12" s="6"/>
      <c r="L12" s="4"/>
      <c r="M12" s="4"/>
      <c r="N12" s="8" t="str">
        <f t="shared" si="1"/>
        <v/>
      </c>
      <c r="O12" s="7" t="str">
        <f t="shared" si="2"/>
        <v/>
      </c>
      <c r="P12" s="8" t="str">
        <f>IF(N12="","",SUM(N$4:N12))</f>
        <v/>
      </c>
    </row>
    <row r="13" spans="1:16" x14ac:dyDescent="0.35">
      <c r="A13" s="9">
        <v>10</v>
      </c>
      <c r="B13" s="10"/>
      <c r="C13" s="10"/>
      <c r="D13" s="10"/>
      <c r="E13" s="11"/>
      <c r="F13" s="12"/>
      <c r="G13" s="13" t="str">
        <f t="shared" si="0"/>
        <v/>
      </c>
      <c r="H13" s="12"/>
      <c r="I13" s="12"/>
      <c r="J13" s="12"/>
      <c r="K13" s="12"/>
      <c r="L13" s="10"/>
      <c r="M13" s="10"/>
      <c r="N13" s="14" t="str">
        <f t="shared" si="1"/>
        <v/>
      </c>
      <c r="O13" s="13" t="str">
        <f t="shared" si="2"/>
        <v/>
      </c>
      <c r="P13" s="14" t="str">
        <f>IF(N13="","",SUM(N$4:N13))</f>
        <v/>
      </c>
    </row>
    <row r="14" spans="1:16" x14ac:dyDescent="0.35">
      <c r="A14" s="3">
        <v>11</v>
      </c>
      <c r="B14" s="4"/>
      <c r="C14" s="4"/>
      <c r="D14" s="4"/>
      <c r="E14" s="5"/>
      <c r="F14" s="6"/>
      <c r="G14" s="7" t="str">
        <f t="shared" si="0"/>
        <v/>
      </c>
      <c r="H14" s="6"/>
      <c r="I14" s="6"/>
      <c r="J14" s="6"/>
      <c r="K14" s="6"/>
      <c r="L14" s="4"/>
      <c r="M14" s="4"/>
      <c r="N14" s="8" t="str">
        <f t="shared" si="1"/>
        <v/>
      </c>
      <c r="O14" s="7" t="str">
        <f t="shared" si="2"/>
        <v/>
      </c>
      <c r="P14" s="8" t="str">
        <f>IF(N14="","",SUM(N$4:N14))</f>
        <v/>
      </c>
    </row>
    <row r="15" spans="1:16" x14ac:dyDescent="0.35">
      <c r="A15" s="9">
        <v>12</v>
      </c>
      <c r="B15" s="10"/>
      <c r="C15" s="10"/>
      <c r="D15" s="10"/>
      <c r="E15" s="11"/>
      <c r="F15" s="12"/>
      <c r="G15" s="13" t="str">
        <f t="shared" si="0"/>
        <v/>
      </c>
      <c r="H15" s="12"/>
      <c r="I15" s="12"/>
      <c r="J15" s="12"/>
      <c r="K15" s="12"/>
      <c r="L15" s="10"/>
      <c r="M15" s="10"/>
      <c r="N15" s="14" t="str">
        <f t="shared" si="1"/>
        <v/>
      </c>
      <c r="O15" s="13" t="str">
        <f t="shared" si="2"/>
        <v/>
      </c>
      <c r="P15" s="14" t="str">
        <f>IF(N15="","",SUM(N$4:N15))</f>
        <v/>
      </c>
    </row>
    <row r="16" spans="1:16" x14ac:dyDescent="0.35">
      <c r="A16" s="3">
        <v>13</v>
      </c>
      <c r="B16" s="4"/>
      <c r="C16" s="4"/>
      <c r="D16" s="4"/>
      <c r="E16" s="5"/>
      <c r="F16" s="6"/>
      <c r="G16" s="7" t="str">
        <f t="shared" si="0"/>
        <v/>
      </c>
      <c r="H16" s="6"/>
      <c r="I16" s="6"/>
      <c r="J16" s="6"/>
      <c r="K16" s="6"/>
      <c r="L16" s="4"/>
      <c r="M16" s="4"/>
      <c r="N16" s="8" t="str">
        <f t="shared" si="1"/>
        <v/>
      </c>
      <c r="O16" s="7" t="str">
        <f t="shared" si="2"/>
        <v/>
      </c>
      <c r="P16" s="8" t="str">
        <f>IF(N16="","",SUM(N$4:N16))</f>
        <v/>
      </c>
    </row>
    <row r="17" spans="1:16" x14ac:dyDescent="0.35">
      <c r="A17" s="9">
        <v>14</v>
      </c>
      <c r="B17" s="10"/>
      <c r="C17" s="10"/>
      <c r="D17" s="10"/>
      <c r="E17" s="11"/>
      <c r="F17" s="12"/>
      <c r="G17" s="13" t="str">
        <f t="shared" si="0"/>
        <v/>
      </c>
      <c r="H17" s="12"/>
      <c r="I17" s="12"/>
      <c r="J17" s="12"/>
      <c r="K17" s="12"/>
      <c r="L17" s="10"/>
      <c r="M17" s="10"/>
      <c r="N17" s="14" t="str">
        <f t="shared" si="1"/>
        <v/>
      </c>
      <c r="O17" s="13" t="str">
        <f t="shared" si="2"/>
        <v/>
      </c>
      <c r="P17" s="14" t="str">
        <f>IF(N17="","",SUM(N$4:N17))</f>
        <v/>
      </c>
    </row>
    <row r="18" spans="1:16" x14ac:dyDescent="0.35">
      <c r="A18" s="3">
        <v>15</v>
      </c>
      <c r="B18" s="4"/>
      <c r="C18" s="4"/>
      <c r="D18" s="4"/>
      <c r="E18" s="5"/>
      <c r="F18" s="6"/>
      <c r="G18" s="7" t="str">
        <f t="shared" si="0"/>
        <v/>
      </c>
      <c r="H18" s="6"/>
      <c r="I18" s="6"/>
      <c r="J18" s="6"/>
      <c r="K18" s="6"/>
      <c r="L18" s="4"/>
      <c r="M18" s="4"/>
      <c r="N18" s="8" t="str">
        <f t="shared" si="1"/>
        <v/>
      </c>
      <c r="O18" s="7" t="str">
        <f t="shared" si="2"/>
        <v/>
      </c>
      <c r="P18" s="8" t="str">
        <f>IF(N18="","",SUM(N$4:N18))</f>
        <v/>
      </c>
    </row>
    <row r="19" spans="1:16" x14ac:dyDescent="0.35">
      <c r="A19" s="9">
        <v>16</v>
      </c>
      <c r="B19" s="10"/>
      <c r="C19" s="10"/>
      <c r="D19" s="10"/>
      <c r="E19" s="11"/>
      <c r="F19" s="12"/>
      <c r="G19" s="13" t="str">
        <f t="shared" si="0"/>
        <v/>
      </c>
      <c r="H19" s="12"/>
      <c r="I19" s="12"/>
      <c r="J19" s="12"/>
      <c r="K19" s="12"/>
      <c r="L19" s="10"/>
      <c r="M19" s="10"/>
      <c r="N19" s="14" t="str">
        <f t="shared" si="1"/>
        <v/>
      </c>
      <c r="O19" s="13" t="str">
        <f t="shared" si="2"/>
        <v/>
      </c>
      <c r="P19" s="14" t="str">
        <f>IF(N19="","",SUM(N$4:N19))</f>
        <v/>
      </c>
    </row>
    <row r="20" spans="1:16" x14ac:dyDescent="0.35">
      <c r="A20" s="3">
        <v>17</v>
      </c>
      <c r="B20" s="4"/>
      <c r="C20" s="4"/>
      <c r="D20" s="4"/>
      <c r="E20" s="5"/>
      <c r="F20" s="6"/>
      <c r="G20" s="7" t="str">
        <f t="shared" si="0"/>
        <v/>
      </c>
      <c r="H20" s="6"/>
      <c r="I20" s="6"/>
      <c r="J20" s="6"/>
      <c r="K20" s="6"/>
      <c r="L20" s="4"/>
      <c r="M20" s="4"/>
      <c r="N20" s="8" t="str">
        <f t="shared" si="1"/>
        <v/>
      </c>
      <c r="O20" s="7" t="str">
        <f t="shared" si="2"/>
        <v/>
      </c>
      <c r="P20" s="8" t="str">
        <f>IF(N20="","",SUM(N$4:N20))</f>
        <v/>
      </c>
    </row>
    <row r="21" spans="1:16" x14ac:dyDescent="0.35">
      <c r="A21" s="9">
        <v>18</v>
      </c>
      <c r="B21" s="10"/>
      <c r="C21" s="10"/>
      <c r="D21" s="10"/>
      <c r="E21" s="11"/>
      <c r="F21" s="12"/>
      <c r="G21" s="13" t="str">
        <f t="shared" si="0"/>
        <v/>
      </c>
      <c r="H21" s="12"/>
      <c r="I21" s="12"/>
      <c r="J21" s="12"/>
      <c r="K21" s="12"/>
      <c r="L21" s="10"/>
      <c r="M21" s="10"/>
      <c r="N21" s="14" t="str">
        <f t="shared" si="1"/>
        <v/>
      </c>
      <c r="O21" s="13" t="str">
        <f t="shared" si="2"/>
        <v/>
      </c>
      <c r="P21" s="14" t="str">
        <f>IF(N21="","",SUM(N$4:N21))</f>
        <v/>
      </c>
    </row>
    <row r="22" spans="1:16" x14ac:dyDescent="0.35">
      <c r="A22" s="3">
        <v>19</v>
      </c>
      <c r="B22" s="4"/>
      <c r="C22" s="4"/>
      <c r="D22" s="4"/>
      <c r="E22" s="5"/>
      <c r="F22" s="6"/>
      <c r="G22" s="7" t="str">
        <f t="shared" si="0"/>
        <v/>
      </c>
      <c r="H22" s="6"/>
      <c r="I22" s="6"/>
      <c r="J22" s="6"/>
      <c r="K22" s="6"/>
      <c r="L22" s="4"/>
      <c r="M22" s="4"/>
      <c r="N22" s="8" t="str">
        <f t="shared" si="1"/>
        <v/>
      </c>
      <c r="O22" s="7" t="str">
        <f t="shared" si="2"/>
        <v/>
      </c>
      <c r="P22" s="8" t="str">
        <f>IF(N22="","",SUM(N$4:N22))</f>
        <v/>
      </c>
    </row>
    <row r="23" spans="1:16" x14ac:dyDescent="0.35">
      <c r="A23" s="9">
        <v>20</v>
      </c>
      <c r="B23" s="10"/>
      <c r="C23" s="10"/>
      <c r="D23" s="10"/>
      <c r="E23" s="11"/>
      <c r="F23" s="12"/>
      <c r="G23" s="13" t="str">
        <f t="shared" si="0"/>
        <v/>
      </c>
      <c r="H23" s="12"/>
      <c r="I23" s="12"/>
      <c r="J23" s="12"/>
      <c r="K23" s="12"/>
      <c r="L23" s="10"/>
      <c r="M23" s="10"/>
      <c r="N23" s="14" t="str">
        <f t="shared" si="1"/>
        <v/>
      </c>
      <c r="O23" s="13" t="str">
        <f t="shared" si="2"/>
        <v/>
      </c>
      <c r="P23" s="14" t="str">
        <f>IF(N23="","",SUM(N$4:N23))</f>
        <v/>
      </c>
    </row>
    <row r="24" spans="1:16" x14ac:dyDescent="0.35">
      <c r="A24" s="3">
        <v>21</v>
      </c>
      <c r="B24" s="4"/>
      <c r="C24" s="4"/>
      <c r="D24" s="4"/>
      <c r="E24" s="5"/>
      <c r="F24" s="6"/>
      <c r="G24" s="7" t="str">
        <f t="shared" si="0"/>
        <v/>
      </c>
      <c r="H24" s="6"/>
      <c r="I24" s="6"/>
      <c r="J24" s="6"/>
      <c r="K24" s="6"/>
      <c r="L24" s="4"/>
      <c r="M24" s="4"/>
      <c r="N24" s="8" t="str">
        <f t="shared" si="1"/>
        <v/>
      </c>
      <c r="O24" s="7" t="str">
        <f t="shared" si="2"/>
        <v/>
      </c>
      <c r="P24" s="8" t="str">
        <f>IF(N24="","",SUM(N$4:N24))</f>
        <v/>
      </c>
    </row>
    <row r="25" spans="1:16" x14ac:dyDescent="0.35">
      <c r="A25" s="9">
        <v>22</v>
      </c>
      <c r="B25" s="10"/>
      <c r="C25" s="10"/>
      <c r="D25" s="10"/>
      <c r="E25" s="11"/>
      <c r="F25" s="12"/>
      <c r="G25" s="13" t="str">
        <f t="shared" si="0"/>
        <v/>
      </c>
      <c r="H25" s="12"/>
      <c r="I25" s="12"/>
      <c r="J25" s="12"/>
      <c r="K25" s="12"/>
      <c r="L25" s="10"/>
      <c r="M25" s="10"/>
      <c r="N25" s="14" t="str">
        <f t="shared" si="1"/>
        <v/>
      </c>
      <c r="O25" s="13" t="str">
        <f t="shared" si="2"/>
        <v/>
      </c>
      <c r="P25" s="14" t="str">
        <f>IF(N25="","",SUM(N$4:N25))</f>
        <v/>
      </c>
    </row>
    <row r="26" spans="1:16" x14ac:dyDescent="0.35">
      <c r="A26" s="3">
        <v>23</v>
      </c>
      <c r="B26" s="4"/>
      <c r="C26" s="4"/>
      <c r="D26" s="4"/>
      <c r="E26" s="5"/>
      <c r="F26" s="6"/>
      <c r="G26" s="7" t="str">
        <f t="shared" si="0"/>
        <v/>
      </c>
      <c r="H26" s="6"/>
      <c r="I26" s="6"/>
      <c r="J26" s="6"/>
      <c r="K26" s="6"/>
      <c r="L26" s="4"/>
      <c r="M26" s="4"/>
      <c r="N26" s="8" t="str">
        <f t="shared" si="1"/>
        <v/>
      </c>
      <c r="O26" s="7" t="str">
        <f t="shared" si="2"/>
        <v/>
      </c>
      <c r="P26" s="8" t="str">
        <f>IF(N26="","",SUM(N$4:N26))</f>
        <v/>
      </c>
    </row>
    <row r="27" spans="1:16" x14ac:dyDescent="0.35">
      <c r="A27" s="9">
        <v>24</v>
      </c>
      <c r="B27" s="10"/>
      <c r="C27" s="10"/>
      <c r="D27" s="10"/>
      <c r="E27" s="11"/>
      <c r="F27" s="12"/>
      <c r="G27" s="13" t="str">
        <f t="shared" si="0"/>
        <v/>
      </c>
      <c r="H27" s="12"/>
      <c r="I27" s="12"/>
      <c r="J27" s="12"/>
      <c r="K27" s="12"/>
      <c r="L27" s="10"/>
      <c r="M27" s="10"/>
      <c r="N27" s="14" t="str">
        <f t="shared" si="1"/>
        <v/>
      </c>
      <c r="O27" s="13" t="str">
        <f t="shared" si="2"/>
        <v/>
      </c>
      <c r="P27" s="14" t="str">
        <f>IF(N27="","",SUM(N$4:N27))</f>
        <v/>
      </c>
    </row>
    <row r="28" spans="1:16" x14ac:dyDescent="0.35">
      <c r="A28" s="3">
        <v>25</v>
      </c>
      <c r="B28" s="4"/>
      <c r="C28" s="4"/>
      <c r="D28" s="4"/>
      <c r="E28" s="5"/>
      <c r="F28" s="6"/>
      <c r="G28" s="7" t="str">
        <f t="shared" si="0"/>
        <v/>
      </c>
      <c r="H28" s="6"/>
      <c r="I28" s="6"/>
      <c r="J28" s="6"/>
      <c r="K28" s="6"/>
      <c r="L28" s="4"/>
      <c r="M28" s="4"/>
      <c r="N28" s="8" t="str">
        <f t="shared" si="1"/>
        <v/>
      </c>
      <c r="O28" s="7" t="str">
        <f t="shared" si="2"/>
        <v/>
      </c>
      <c r="P28" s="8" t="str">
        <f>IF(N28="","",SUM(N$4:N28))</f>
        <v/>
      </c>
    </row>
    <row r="29" spans="1:16" x14ac:dyDescent="0.35">
      <c r="A29" s="9">
        <v>26</v>
      </c>
      <c r="B29" s="10"/>
      <c r="C29" s="10"/>
      <c r="D29" s="10"/>
      <c r="E29" s="11"/>
      <c r="F29" s="12"/>
      <c r="G29" s="13" t="str">
        <f t="shared" si="0"/>
        <v/>
      </c>
      <c r="H29" s="12"/>
      <c r="I29" s="12"/>
      <c r="J29" s="12"/>
      <c r="K29" s="12"/>
      <c r="L29" s="10"/>
      <c r="M29" s="10"/>
      <c r="N29" s="14" t="str">
        <f t="shared" si="1"/>
        <v/>
      </c>
      <c r="O29" s="13" t="str">
        <f t="shared" si="2"/>
        <v/>
      </c>
      <c r="P29" s="14" t="str">
        <f>IF(N29="","",SUM(N$4:N29))</f>
        <v/>
      </c>
    </row>
    <row r="30" spans="1:16" x14ac:dyDescent="0.35">
      <c r="A30" s="3">
        <v>27</v>
      </c>
      <c r="B30" s="4"/>
      <c r="C30" s="4"/>
      <c r="D30" s="4"/>
      <c r="E30" s="5"/>
      <c r="F30" s="6"/>
      <c r="G30" s="7" t="str">
        <f t="shared" si="0"/>
        <v/>
      </c>
      <c r="H30" s="6"/>
      <c r="I30" s="6"/>
      <c r="J30" s="6"/>
      <c r="K30" s="6"/>
      <c r="L30" s="4"/>
      <c r="M30" s="4"/>
      <c r="N30" s="8" t="str">
        <f t="shared" si="1"/>
        <v/>
      </c>
      <c r="O30" s="7" t="str">
        <f t="shared" si="2"/>
        <v/>
      </c>
      <c r="P30" s="8" t="str">
        <f>IF(N30="","",SUM(N$4:N30))</f>
        <v/>
      </c>
    </row>
    <row r="31" spans="1:16" x14ac:dyDescent="0.35">
      <c r="A31" s="9">
        <v>28</v>
      </c>
      <c r="B31" s="10"/>
      <c r="C31" s="10"/>
      <c r="D31" s="10"/>
      <c r="E31" s="11"/>
      <c r="F31" s="12"/>
      <c r="G31" s="13" t="str">
        <f t="shared" si="0"/>
        <v/>
      </c>
      <c r="H31" s="12"/>
      <c r="I31" s="12"/>
      <c r="J31" s="12"/>
      <c r="K31" s="12"/>
      <c r="L31" s="10"/>
      <c r="M31" s="10"/>
      <c r="N31" s="14" t="str">
        <f t="shared" si="1"/>
        <v/>
      </c>
      <c r="O31" s="13" t="str">
        <f t="shared" si="2"/>
        <v/>
      </c>
      <c r="P31" s="14" t="str">
        <f>IF(N31="","",SUM(N$4:N31))</f>
        <v/>
      </c>
    </row>
    <row r="32" spans="1:16" x14ac:dyDescent="0.35">
      <c r="A32" s="3">
        <v>29</v>
      </c>
      <c r="B32" s="4"/>
      <c r="C32" s="4"/>
      <c r="D32" s="4"/>
      <c r="E32" s="5"/>
      <c r="F32" s="6"/>
      <c r="G32" s="7" t="str">
        <f t="shared" si="0"/>
        <v/>
      </c>
      <c r="H32" s="6"/>
      <c r="I32" s="6"/>
      <c r="J32" s="6"/>
      <c r="K32" s="6"/>
      <c r="L32" s="4"/>
      <c r="M32" s="4"/>
      <c r="N32" s="8" t="str">
        <f t="shared" si="1"/>
        <v/>
      </c>
      <c r="O32" s="7" t="str">
        <f t="shared" si="2"/>
        <v/>
      </c>
      <c r="P32" s="8" t="str">
        <f>IF(N32="","",SUM(N$4:N32))</f>
        <v/>
      </c>
    </row>
    <row r="33" spans="1:16" x14ac:dyDescent="0.35">
      <c r="A33" s="9">
        <v>30</v>
      </c>
      <c r="B33" s="10"/>
      <c r="C33" s="10"/>
      <c r="D33" s="10"/>
      <c r="E33" s="11"/>
      <c r="F33" s="12"/>
      <c r="G33" s="13" t="str">
        <f t="shared" si="0"/>
        <v/>
      </c>
      <c r="H33" s="12"/>
      <c r="I33" s="12"/>
      <c r="J33" s="12"/>
      <c r="K33" s="12"/>
      <c r="L33" s="10"/>
      <c r="M33" s="10"/>
      <c r="N33" s="14" t="str">
        <f t="shared" si="1"/>
        <v/>
      </c>
      <c r="O33" s="13" t="str">
        <f t="shared" si="2"/>
        <v/>
      </c>
      <c r="P33" s="14" t="str">
        <f>IF(N33="","",SUM(N$4:N33))</f>
        <v/>
      </c>
    </row>
    <row r="34" spans="1:16" x14ac:dyDescent="0.35">
      <c r="A34" s="3">
        <v>31</v>
      </c>
      <c r="B34" s="4"/>
      <c r="C34" s="4"/>
      <c r="D34" s="4"/>
      <c r="E34" s="5"/>
      <c r="F34" s="6"/>
      <c r="G34" s="7" t="str">
        <f t="shared" si="0"/>
        <v/>
      </c>
      <c r="H34" s="6"/>
      <c r="I34" s="6"/>
      <c r="J34" s="6"/>
      <c r="K34" s="6"/>
      <c r="L34" s="4"/>
      <c r="M34" s="4"/>
      <c r="N34" s="8" t="str">
        <f t="shared" si="1"/>
        <v/>
      </c>
      <c r="O34" s="7" t="str">
        <f t="shared" si="2"/>
        <v/>
      </c>
      <c r="P34" s="8" t="str">
        <f>IF(N34="","",SUM(N$4:N34))</f>
        <v/>
      </c>
    </row>
    <row r="35" spans="1:16" x14ac:dyDescent="0.35">
      <c r="A35" s="9">
        <v>32</v>
      </c>
      <c r="B35" s="10"/>
      <c r="C35" s="10"/>
      <c r="D35" s="10"/>
      <c r="E35" s="11"/>
      <c r="F35" s="12"/>
      <c r="G35" s="13" t="str">
        <f t="shared" si="0"/>
        <v/>
      </c>
      <c r="H35" s="12"/>
      <c r="I35" s="12"/>
      <c r="J35" s="12"/>
      <c r="K35" s="12"/>
      <c r="L35" s="10"/>
      <c r="M35" s="10"/>
      <c r="N35" s="14" t="str">
        <f t="shared" si="1"/>
        <v/>
      </c>
      <c r="O35" s="13" t="str">
        <f t="shared" si="2"/>
        <v/>
      </c>
      <c r="P35" s="14" t="str">
        <f>IF(N35="","",SUM(N$4:N35))</f>
        <v/>
      </c>
    </row>
    <row r="36" spans="1:16" x14ac:dyDescent="0.35">
      <c r="A36" s="3">
        <v>33</v>
      </c>
      <c r="B36" s="4"/>
      <c r="C36" s="4"/>
      <c r="D36" s="4"/>
      <c r="E36" s="5"/>
      <c r="F36" s="6"/>
      <c r="G36" s="7" t="str">
        <f t="shared" ref="G36:G53" si="3">IF(E36="","",E36-F36)</f>
        <v/>
      </c>
      <c r="H36" s="6"/>
      <c r="I36" s="6"/>
      <c r="J36" s="6"/>
      <c r="K36" s="6"/>
      <c r="L36" s="4"/>
      <c r="M36" s="4"/>
      <c r="N36" s="8" t="str">
        <f t="shared" ref="N36:N53" si="4">IF(OR(K36="",H36=""),"",K36-H36)</f>
        <v/>
      </c>
      <c r="O36" s="7" t="str">
        <f t="shared" ref="O36:O53" si="5">IF(OR(K36="",H36=""),"",(K36-H36)/H36)</f>
        <v/>
      </c>
      <c r="P36" s="8" t="str">
        <f>IF(N36="","",SUM(N$4:N36))</f>
        <v/>
      </c>
    </row>
    <row r="37" spans="1:16" x14ac:dyDescent="0.35">
      <c r="A37" s="9">
        <v>34</v>
      </c>
      <c r="B37" s="10"/>
      <c r="C37" s="10"/>
      <c r="D37" s="10"/>
      <c r="E37" s="11"/>
      <c r="F37" s="12"/>
      <c r="G37" s="13" t="str">
        <f t="shared" si="3"/>
        <v/>
      </c>
      <c r="H37" s="12"/>
      <c r="I37" s="12"/>
      <c r="J37" s="12"/>
      <c r="K37" s="12"/>
      <c r="L37" s="10"/>
      <c r="M37" s="10"/>
      <c r="N37" s="14" t="str">
        <f t="shared" si="4"/>
        <v/>
      </c>
      <c r="O37" s="13" t="str">
        <f t="shared" si="5"/>
        <v/>
      </c>
      <c r="P37" s="14" t="str">
        <f>IF(N37="","",SUM(N$4:N37))</f>
        <v/>
      </c>
    </row>
    <row r="38" spans="1:16" x14ac:dyDescent="0.35">
      <c r="A38" s="3">
        <v>35</v>
      </c>
      <c r="B38" s="4"/>
      <c r="C38" s="4"/>
      <c r="D38" s="4"/>
      <c r="E38" s="5"/>
      <c r="F38" s="6"/>
      <c r="G38" s="7" t="str">
        <f t="shared" si="3"/>
        <v/>
      </c>
      <c r="H38" s="6"/>
      <c r="I38" s="6"/>
      <c r="J38" s="6"/>
      <c r="K38" s="6"/>
      <c r="L38" s="4"/>
      <c r="M38" s="4"/>
      <c r="N38" s="8" t="str">
        <f t="shared" si="4"/>
        <v/>
      </c>
      <c r="O38" s="7" t="str">
        <f t="shared" si="5"/>
        <v/>
      </c>
      <c r="P38" s="8" t="str">
        <f>IF(N38="","",SUM(N$4:N38))</f>
        <v/>
      </c>
    </row>
    <row r="39" spans="1:16" x14ac:dyDescent="0.35">
      <c r="A39" s="9">
        <v>36</v>
      </c>
      <c r="B39" s="10"/>
      <c r="C39" s="10"/>
      <c r="D39" s="10"/>
      <c r="E39" s="11"/>
      <c r="F39" s="12"/>
      <c r="G39" s="13" t="str">
        <f t="shared" si="3"/>
        <v/>
      </c>
      <c r="H39" s="12"/>
      <c r="I39" s="12"/>
      <c r="J39" s="12"/>
      <c r="K39" s="12"/>
      <c r="L39" s="10"/>
      <c r="M39" s="10"/>
      <c r="N39" s="14" t="str">
        <f t="shared" si="4"/>
        <v/>
      </c>
      <c r="O39" s="13" t="str">
        <f t="shared" si="5"/>
        <v/>
      </c>
      <c r="P39" s="14" t="str">
        <f>IF(N39="","",SUM(N$4:N39))</f>
        <v/>
      </c>
    </row>
    <row r="40" spans="1:16" x14ac:dyDescent="0.35">
      <c r="A40" s="3">
        <v>37</v>
      </c>
      <c r="B40" s="4"/>
      <c r="C40" s="4"/>
      <c r="D40" s="4"/>
      <c r="E40" s="5"/>
      <c r="F40" s="6"/>
      <c r="G40" s="7" t="str">
        <f t="shared" si="3"/>
        <v/>
      </c>
      <c r="H40" s="6"/>
      <c r="I40" s="6"/>
      <c r="J40" s="6"/>
      <c r="K40" s="6"/>
      <c r="L40" s="4"/>
      <c r="M40" s="4"/>
      <c r="N40" s="8" t="str">
        <f t="shared" si="4"/>
        <v/>
      </c>
      <c r="O40" s="7" t="str">
        <f t="shared" si="5"/>
        <v/>
      </c>
      <c r="P40" s="8" t="str">
        <f>IF(N40="","",SUM(N$4:N40))</f>
        <v/>
      </c>
    </row>
    <row r="41" spans="1:16" x14ac:dyDescent="0.35">
      <c r="A41" s="9">
        <v>38</v>
      </c>
      <c r="B41" s="10"/>
      <c r="C41" s="10"/>
      <c r="D41" s="10"/>
      <c r="E41" s="11"/>
      <c r="F41" s="12"/>
      <c r="G41" s="13" t="str">
        <f t="shared" si="3"/>
        <v/>
      </c>
      <c r="H41" s="12"/>
      <c r="I41" s="12"/>
      <c r="J41" s="12"/>
      <c r="K41" s="12"/>
      <c r="L41" s="10"/>
      <c r="M41" s="10"/>
      <c r="N41" s="14" t="str">
        <f t="shared" si="4"/>
        <v/>
      </c>
      <c r="O41" s="13" t="str">
        <f t="shared" si="5"/>
        <v/>
      </c>
      <c r="P41" s="14" t="str">
        <f>IF(N41="","",SUM(N$4:N41))</f>
        <v/>
      </c>
    </row>
    <row r="42" spans="1:16" x14ac:dyDescent="0.35">
      <c r="A42" s="3">
        <v>39</v>
      </c>
      <c r="B42" s="4"/>
      <c r="C42" s="4"/>
      <c r="D42" s="4"/>
      <c r="E42" s="5"/>
      <c r="F42" s="6"/>
      <c r="G42" s="7" t="str">
        <f t="shared" si="3"/>
        <v/>
      </c>
      <c r="H42" s="6"/>
      <c r="I42" s="6"/>
      <c r="J42" s="6"/>
      <c r="K42" s="6"/>
      <c r="L42" s="4"/>
      <c r="M42" s="4"/>
      <c r="N42" s="8" t="str">
        <f t="shared" si="4"/>
        <v/>
      </c>
      <c r="O42" s="7" t="str">
        <f t="shared" si="5"/>
        <v/>
      </c>
      <c r="P42" s="8" t="str">
        <f>IF(N42="","",SUM(N$4:N42))</f>
        <v/>
      </c>
    </row>
    <row r="43" spans="1:16" x14ac:dyDescent="0.35">
      <c r="A43" s="9">
        <v>40</v>
      </c>
      <c r="B43" s="10"/>
      <c r="C43" s="10"/>
      <c r="D43" s="10"/>
      <c r="E43" s="11"/>
      <c r="F43" s="12"/>
      <c r="G43" s="13" t="str">
        <f t="shared" si="3"/>
        <v/>
      </c>
      <c r="H43" s="12"/>
      <c r="I43" s="12"/>
      <c r="J43" s="12"/>
      <c r="K43" s="12"/>
      <c r="L43" s="10"/>
      <c r="M43" s="10"/>
      <c r="N43" s="14" t="str">
        <f t="shared" si="4"/>
        <v/>
      </c>
      <c r="O43" s="13" t="str">
        <f t="shared" si="5"/>
        <v/>
      </c>
      <c r="P43" s="14" t="str">
        <f>IF(N43="","",SUM(N$4:N43))</f>
        <v/>
      </c>
    </row>
    <row r="44" spans="1:16" x14ac:dyDescent="0.35">
      <c r="A44" s="3">
        <v>41</v>
      </c>
      <c r="B44" s="4"/>
      <c r="C44" s="4"/>
      <c r="D44" s="4"/>
      <c r="E44" s="5"/>
      <c r="F44" s="6"/>
      <c r="G44" s="7" t="str">
        <f t="shared" si="3"/>
        <v/>
      </c>
      <c r="H44" s="6"/>
      <c r="I44" s="6"/>
      <c r="J44" s="6"/>
      <c r="K44" s="6"/>
      <c r="L44" s="4"/>
      <c r="M44" s="4"/>
      <c r="N44" s="8" t="str">
        <f t="shared" si="4"/>
        <v/>
      </c>
      <c r="O44" s="7" t="str">
        <f t="shared" si="5"/>
        <v/>
      </c>
      <c r="P44" s="8" t="str">
        <f>IF(N44="","",SUM(N$4:N44))</f>
        <v/>
      </c>
    </row>
    <row r="45" spans="1:16" x14ac:dyDescent="0.35">
      <c r="A45" s="9">
        <v>42</v>
      </c>
      <c r="B45" s="10"/>
      <c r="C45" s="10"/>
      <c r="D45" s="10"/>
      <c r="E45" s="11"/>
      <c r="F45" s="12"/>
      <c r="G45" s="13" t="str">
        <f t="shared" si="3"/>
        <v/>
      </c>
      <c r="H45" s="12"/>
      <c r="I45" s="12"/>
      <c r="J45" s="12"/>
      <c r="K45" s="12"/>
      <c r="L45" s="10"/>
      <c r="M45" s="10"/>
      <c r="N45" s="14" t="str">
        <f t="shared" si="4"/>
        <v/>
      </c>
      <c r="O45" s="13" t="str">
        <f t="shared" si="5"/>
        <v/>
      </c>
      <c r="P45" s="14" t="str">
        <f>IF(N45="","",SUM(N$4:N45))</f>
        <v/>
      </c>
    </row>
    <row r="46" spans="1:16" x14ac:dyDescent="0.35">
      <c r="A46" s="3">
        <v>43</v>
      </c>
      <c r="B46" s="4"/>
      <c r="C46" s="4"/>
      <c r="D46" s="4"/>
      <c r="E46" s="5"/>
      <c r="F46" s="6"/>
      <c r="G46" s="7" t="str">
        <f t="shared" si="3"/>
        <v/>
      </c>
      <c r="H46" s="6"/>
      <c r="I46" s="6"/>
      <c r="J46" s="6"/>
      <c r="K46" s="6"/>
      <c r="L46" s="4"/>
      <c r="M46" s="4"/>
      <c r="N46" s="8" t="str">
        <f t="shared" si="4"/>
        <v/>
      </c>
      <c r="O46" s="7" t="str">
        <f t="shared" si="5"/>
        <v/>
      </c>
      <c r="P46" s="8" t="str">
        <f>IF(N46="","",SUM(N$4:N46))</f>
        <v/>
      </c>
    </row>
    <row r="47" spans="1:16" x14ac:dyDescent="0.35">
      <c r="A47" s="9">
        <v>44</v>
      </c>
      <c r="B47" s="10"/>
      <c r="C47" s="10"/>
      <c r="D47" s="10"/>
      <c r="E47" s="11"/>
      <c r="F47" s="12"/>
      <c r="G47" s="13" t="str">
        <f t="shared" si="3"/>
        <v/>
      </c>
      <c r="H47" s="12"/>
      <c r="I47" s="12"/>
      <c r="J47" s="12"/>
      <c r="K47" s="12"/>
      <c r="L47" s="10"/>
      <c r="M47" s="10"/>
      <c r="N47" s="14" t="str">
        <f t="shared" si="4"/>
        <v/>
      </c>
      <c r="O47" s="13" t="str">
        <f t="shared" si="5"/>
        <v/>
      </c>
      <c r="P47" s="14" t="str">
        <f>IF(N47="","",SUM(N$4:N47))</f>
        <v/>
      </c>
    </row>
    <row r="48" spans="1:16" x14ac:dyDescent="0.35">
      <c r="A48" s="3">
        <v>45</v>
      </c>
      <c r="B48" s="4"/>
      <c r="C48" s="4"/>
      <c r="D48" s="4"/>
      <c r="E48" s="5"/>
      <c r="F48" s="6"/>
      <c r="G48" s="7" t="str">
        <f t="shared" si="3"/>
        <v/>
      </c>
      <c r="H48" s="6"/>
      <c r="I48" s="6"/>
      <c r="J48" s="6"/>
      <c r="K48" s="6"/>
      <c r="L48" s="4"/>
      <c r="M48" s="4"/>
      <c r="N48" s="8" t="str">
        <f t="shared" si="4"/>
        <v/>
      </c>
      <c r="O48" s="7" t="str">
        <f t="shared" si="5"/>
        <v/>
      </c>
      <c r="P48" s="8" t="str">
        <f>IF(N48="","",SUM(N$4:N48))</f>
        <v/>
      </c>
    </row>
    <row r="49" spans="1:16" x14ac:dyDescent="0.35">
      <c r="A49" s="9">
        <v>46</v>
      </c>
      <c r="B49" s="10"/>
      <c r="C49" s="10"/>
      <c r="D49" s="10"/>
      <c r="E49" s="11"/>
      <c r="F49" s="12"/>
      <c r="G49" s="13" t="str">
        <f t="shared" si="3"/>
        <v/>
      </c>
      <c r="H49" s="12"/>
      <c r="I49" s="12"/>
      <c r="J49" s="12"/>
      <c r="K49" s="12"/>
      <c r="L49" s="10"/>
      <c r="M49" s="10"/>
      <c r="N49" s="14" t="str">
        <f t="shared" si="4"/>
        <v/>
      </c>
      <c r="O49" s="13" t="str">
        <f t="shared" si="5"/>
        <v/>
      </c>
      <c r="P49" s="14" t="str">
        <f>IF(N49="","",SUM(N$4:N49))</f>
        <v/>
      </c>
    </row>
    <row r="50" spans="1:16" x14ac:dyDescent="0.35">
      <c r="A50" s="3">
        <v>47</v>
      </c>
      <c r="B50" s="4"/>
      <c r="C50" s="4"/>
      <c r="D50" s="4"/>
      <c r="E50" s="5"/>
      <c r="F50" s="6"/>
      <c r="G50" s="7" t="str">
        <f t="shared" si="3"/>
        <v/>
      </c>
      <c r="H50" s="6"/>
      <c r="I50" s="6"/>
      <c r="J50" s="6"/>
      <c r="K50" s="6"/>
      <c r="L50" s="4"/>
      <c r="M50" s="4"/>
      <c r="N50" s="8" t="str">
        <f t="shared" si="4"/>
        <v/>
      </c>
      <c r="O50" s="7" t="str">
        <f t="shared" si="5"/>
        <v/>
      </c>
      <c r="P50" s="8" t="str">
        <f>IF(N50="","",SUM(N$4:N50))</f>
        <v/>
      </c>
    </row>
    <row r="51" spans="1:16" x14ac:dyDescent="0.35">
      <c r="A51" s="9">
        <v>48</v>
      </c>
      <c r="B51" s="10"/>
      <c r="C51" s="10"/>
      <c r="D51" s="10"/>
      <c r="E51" s="11"/>
      <c r="F51" s="12"/>
      <c r="G51" s="13" t="str">
        <f t="shared" si="3"/>
        <v/>
      </c>
      <c r="H51" s="12"/>
      <c r="I51" s="12"/>
      <c r="J51" s="12"/>
      <c r="K51" s="12"/>
      <c r="L51" s="10"/>
      <c r="M51" s="10"/>
      <c r="N51" s="14" t="str">
        <f t="shared" si="4"/>
        <v/>
      </c>
      <c r="O51" s="13" t="str">
        <f t="shared" si="5"/>
        <v/>
      </c>
      <c r="P51" s="14" t="str">
        <f>IF(N51="","",SUM(N$4:N51))</f>
        <v/>
      </c>
    </row>
    <row r="52" spans="1:16" x14ac:dyDescent="0.35">
      <c r="A52" s="3">
        <v>49</v>
      </c>
      <c r="B52" s="4"/>
      <c r="C52" s="4"/>
      <c r="D52" s="4"/>
      <c r="E52" s="5"/>
      <c r="F52" s="6"/>
      <c r="G52" s="7" t="str">
        <f t="shared" si="3"/>
        <v/>
      </c>
      <c r="H52" s="6"/>
      <c r="I52" s="6"/>
      <c r="J52" s="6"/>
      <c r="K52" s="6"/>
      <c r="L52" s="4"/>
      <c r="M52" s="4"/>
      <c r="N52" s="8" t="str">
        <f t="shared" si="4"/>
        <v/>
      </c>
      <c r="O52" s="7" t="str">
        <f t="shared" si="5"/>
        <v/>
      </c>
      <c r="P52" s="8" t="str">
        <f>IF(N52="","",SUM(N$4:N52))</f>
        <v/>
      </c>
    </row>
    <row r="53" spans="1:16" x14ac:dyDescent="0.35">
      <c r="A53" s="9">
        <v>50</v>
      </c>
      <c r="B53" s="10"/>
      <c r="C53" s="10"/>
      <c r="D53" s="10"/>
      <c r="E53" s="11"/>
      <c r="F53" s="12"/>
      <c r="G53" s="13" t="str">
        <f t="shared" si="3"/>
        <v/>
      </c>
      <c r="H53" s="12"/>
      <c r="I53" s="12"/>
      <c r="J53" s="12"/>
      <c r="K53" s="12"/>
      <c r="L53" s="10"/>
      <c r="M53" s="10"/>
      <c r="N53" s="14" t="str">
        <f t="shared" si="4"/>
        <v/>
      </c>
      <c r="O53" s="13" t="str">
        <f t="shared" si="5"/>
        <v/>
      </c>
      <c r="P53" s="14" t="str">
        <f>IF(N53="","",SUM(N$4:N53))</f>
        <v/>
      </c>
    </row>
  </sheetData>
  <mergeCells count="1">
    <mergeCell ref="A1:P1"/>
  </mergeCells>
  <conditionalFormatting sqref="N4:O53">
    <cfRule type="cellIs" dxfId="3" priority="2" operator="greaterThan">
      <formula>0</formula>
    </cfRule>
    <cfRule type="cellIs" dxfId="2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zoomScaleNormal="100" workbookViewId="0">
      <selection activeCell="B12" sqref="B12"/>
    </sheetView>
  </sheetViews>
  <sheetFormatPr defaultColWidth="8.6328125" defaultRowHeight="14.5" x14ac:dyDescent="0.35"/>
  <cols>
    <col min="1" max="1" width="22" customWidth="1"/>
    <col min="2" max="2" width="14" customWidth="1"/>
    <col min="3" max="3" width="4" customWidth="1"/>
    <col min="4" max="4" width="20" customWidth="1"/>
    <col min="5" max="5" width="10" customWidth="1"/>
    <col min="6" max="6" width="12" customWidth="1"/>
  </cols>
  <sheetData>
    <row r="1" spans="1:6" ht="30" customHeight="1" x14ac:dyDescent="0.35">
      <c r="A1" s="28" t="s">
        <v>17</v>
      </c>
      <c r="B1" s="28"/>
      <c r="C1" s="28"/>
      <c r="D1" s="28"/>
    </row>
    <row r="3" spans="1:6" x14ac:dyDescent="0.35">
      <c r="A3" s="2" t="s">
        <v>18</v>
      </c>
      <c r="B3" s="2" t="s">
        <v>19</v>
      </c>
      <c r="D3" s="2" t="s">
        <v>13</v>
      </c>
      <c r="E3" s="2" t="s">
        <v>20</v>
      </c>
      <c r="F3" s="2" t="s">
        <v>21</v>
      </c>
    </row>
    <row r="4" spans="1:6" x14ac:dyDescent="0.35">
      <c r="A4" s="15" t="s">
        <v>22</v>
      </c>
      <c r="B4" s="9">
        <f>COUNTA('Trade Log'!H4:H53)</f>
        <v>3</v>
      </c>
      <c r="D4" s="16" t="s">
        <v>23</v>
      </c>
      <c r="E4" s="9">
        <f>COUNTIF('Trade Log'!M4:M53,D4)</f>
        <v>1</v>
      </c>
      <c r="F4" s="14">
        <f>IF(E4=0,"",AVERAGEIF('Trade Log'!M4:M53,D4,'Trade Log'!N4:N53))</f>
        <v>0.29800000000000004</v>
      </c>
    </row>
    <row r="5" spans="1:6" x14ac:dyDescent="0.35">
      <c r="A5" s="15" t="s">
        <v>24</v>
      </c>
      <c r="B5" s="14">
        <f>COUNTIF('Trade Log'!N4:N53,"&gt;"&amp;0)</f>
        <v>2</v>
      </c>
      <c r="D5" s="16" t="s">
        <v>25</v>
      </c>
      <c r="E5" s="9">
        <f>COUNTIF('Trade Log'!M4:M53,D5)</f>
        <v>1</v>
      </c>
      <c r="F5" s="14">
        <f>IF(E5=0,"",AVERAGEIF('Trade Log'!M4:M53,D5,'Trade Log'!N4:N53))</f>
        <v>0.4</v>
      </c>
    </row>
    <row r="6" spans="1:6" x14ac:dyDescent="0.35">
      <c r="A6" s="15" t="s">
        <v>26</v>
      </c>
      <c r="B6" s="9">
        <f>COUNTIF('Trade Log'!N4:N53,"&lt;"&amp;0)</f>
        <v>1</v>
      </c>
      <c r="D6" s="16" t="s">
        <v>27</v>
      </c>
      <c r="E6" s="9">
        <f>COUNTIF('Trade Log'!M4:M53,D6)</f>
        <v>1</v>
      </c>
      <c r="F6" s="14">
        <f>IF(E6=0,"",AVERAGEIF('Trade Log'!M4:M53,D6,'Trade Log'!N4:N53))</f>
        <v>-0.09</v>
      </c>
    </row>
    <row r="7" spans="1:6" x14ac:dyDescent="0.35">
      <c r="A7" s="15" t="s">
        <v>28</v>
      </c>
      <c r="B7" s="13">
        <f>IF(B4=0,"",B5/B4)</f>
        <v>0.66666666666666663</v>
      </c>
      <c r="D7" s="16" t="s">
        <v>29</v>
      </c>
      <c r="E7" s="9">
        <f>COUNTIF('Trade Log'!M4:M53,D7)</f>
        <v>0</v>
      </c>
      <c r="F7" s="14" t="str">
        <f>IF(E7=0,"",AVERAGEIF('Trade Log'!M4:M53,D7,'Trade Log'!N4:N53))</f>
        <v/>
      </c>
    </row>
    <row r="8" spans="1:6" x14ac:dyDescent="0.35">
      <c r="A8" s="15"/>
      <c r="B8" s="9"/>
    </row>
    <row r="9" spans="1:6" x14ac:dyDescent="0.35">
      <c r="A9" s="15" t="s">
        <v>30</v>
      </c>
      <c r="B9" s="14">
        <f>SUM('Trade Log'!N4:N53)</f>
        <v>0.6080000000000001</v>
      </c>
    </row>
    <row r="10" spans="1:6" x14ac:dyDescent="0.35">
      <c r="A10" s="15" t="s">
        <v>31</v>
      </c>
      <c r="B10" s="14">
        <f>IF(B5=0,"",AVERAGEIF('Trade Log'!N4:N53,"&gt;"&amp;0))</f>
        <v>0.34900000000000003</v>
      </c>
    </row>
    <row r="11" spans="1:6" x14ac:dyDescent="0.35">
      <c r="A11" s="15" t="s">
        <v>32</v>
      </c>
      <c r="B11" s="14">
        <f>IF(B6=0,"",AVERAGEIF('Trade Log'!N4:N53,"&lt;"&amp;0))</f>
        <v>-0.09</v>
      </c>
    </row>
    <row r="12" spans="1:6" x14ac:dyDescent="0.35">
      <c r="A12" s="15" t="s">
        <v>33</v>
      </c>
      <c r="B12" s="14">
        <f>IF(B4=0,"",MAX('Trade Log'!N4:N53))</f>
        <v>0.4</v>
      </c>
    </row>
    <row r="13" spans="1:6" x14ac:dyDescent="0.35">
      <c r="A13" s="15" t="s">
        <v>34</v>
      </c>
      <c r="B13" s="14">
        <f>IF(B4=0,"",MIN('Trade Log'!N4:N53))</f>
        <v>-0.09</v>
      </c>
    </row>
    <row r="14" spans="1:6" x14ac:dyDescent="0.35">
      <c r="A14" s="15"/>
      <c r="B14" s="9"/>
    </row>
    <row r="15" spans="1:6" x14ac:dyDescent="0.35">
      <c r="A15" s="15" t="s">
        <v>35</v>
      </c>
      <c r="B15" s="13">
        <f>IF(B4=0,"",AVERAGE('Trade Log'!G4:G53))</f>
        <v>5.2666666666666695E-2</v>
      </c>
    </row>
    <row r="16" spans="1:6" x14ac:dyDescent="0.35">
      <c r="A16" s="15" t="s">
        <v>36</v>
      </c>
      <c r="B16" s="13">
        <f>IF(B4=0,"",AVERAGE('Trade Log'!O4:O53))</f>
        <v>0.40603174603174613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zoomScaleNormal="100" workbookViewId="0">
      <selection activeCell="C5" sqref="C5"/>
    </sheetView>
  </sheetViews>
  <sheetFormatPr defaultColWidth="8.6328125" defaultRowHeight="14.5" x14ac:dyDescent="0.35"/>
  <cols>
    <col min="1" max="1" width="30" customWidth="1"/>
    <col min="2" max="3" width="18" customWidth="1"/>
    <col min="4" max="4" width="16" customWidth="1"/>
    <col min="5" max="5" width="28" customWidth="1"/>
    <col min="6" max="6" width="5" customWidth="1"/>
  </cols>
  <sheetData>
    <row r="1" spans="1:6" ht="30" customHeight="1" x14ac:dyDescent="0.35">
      <c r="A1" s="28" t="s">
        <v>37</v>
      </c>
      <c r="B1" s="28"/>
      <c r="C1" s="28"/>
      <c r="D1" s="28"/>
      <c r="E1" s="28"/>
      <c r="F1" s="28"/>
    </row>
    <row r="3" spans="1:6" ht="17.399999999999999" customHeight="1" x14ac:dyDescent="0.35">
      <c r="A3" s="30" t="s">
        <v>38</v>
      </c>
      <c r="B3" s="30"/>
      <c r="C3" s="17">
        <v>35</v>
      </c>
    </row>
    <row r="4" spans="1:6" ht="17.399999999999999" customHeight="1" x14ac:dyDescent="0.35">
      <c r="A4" s="30" t="s">
        <v>39</v>
      </c>
      <c r="B4" s="30"/>
      <c r="C4" s="17">
        <v>72</v>
      </c>
    </row>
    <row r="6" spans="1:6" x14ac:dyDescent="0.35">
      <c r="A6" s="29" t="s">
        <v>40</v>
      </c>
      <c r="B6" s="29"/>
      <c r="C6" s="29"/>
      <c r="D6" s="29"/>
      <c r="E6" s="29"/>
      <c r="F6" s="29"/>
    </row>
    <row r="7" spans="1:6" x14ac:dyDescent="0.35">
      <c r="A7" s="18" t="s">
        <v>41</v>
      </c>
      <c r="B7" s="18" t="s">
        <v>42</v>
      </c>
      <c r="C7" s="18" t="s">
        <v>43</v>
      </c>
      <c r="D7" s="18" t="s">
        <v>44</v>
      </c>
      <c r="E7" s="18" t="s">
        <v>45</v>
      </c>
    </row>
    <row r="8" spans="1:6" x14ac:dyDescent="0.35">
      <c r="A8" s="14" t="s">
        <v>46</v>
      </c>
      <c r="B8" s="14">
        <f>$C$3*0.7</f>
        <v>24.5</v>
      </c>
      <c r="C8" s="14" t="s">
        <v>47</v>
      </c>
      <c r="D8" s="19">
        <f>$C$3*0.7</f>
        <v>24.5</v>
      </c>
      <c r="E8" s="20" t="s">
        <v>48</v>
      </c>
    </row>
    <row r="9" spans="1:6" x14ac:dyDescent="0.35">
      <c r="A9" s="14" t="s">
        <v>49</v>
      </c>
      <c r="B9" s="14" t="s">
        <v>50</v>
      </c>
      <c r="C9" s="14" t="s">
        <v>51</v>
      </c>
      <c r="D9" s="19" t="s">
        <v>50</v>
      </c>
      <c r="E9" s="21" t="s">
        <v>52</v>
      </c>
    </row>
    <row r="10" spans="1:6" x14ac:dyDescent="0.35">
      <c r="A10" s="14" t="s">
        <v>53</v>
      </c>
      <c r="B10" s="14">
        <f>$C$3*1.1</f>
        <v>38.5</v>
      </c>
      <c r="C10" s="14" t="s">
        <v>54</v>
      </c>
      <c r="D10" s="19">
        <f>$C$3</f>
        <v>35</v>
      </c>
      <c r="E10" s="21" t="s">
        <v>55</v>
      </c>
    </row>
    <row r="11" spans="1:6" x14ac:dyDescent="0.35">
      <c r="A11" s="14" t="s">
        <v>56</v>
      </c>
      <c r="B11" s="14">
        <f>$C$3*1.2</f>
        <v>42</v>
      </c>
      <c r="C11" s="14" t="s">
        <v>57</v>
      </c>
      <c r="D11" s="19">
        <f>$C$3*1.1</f>
        <v>38.5</v>
      </c>
      <c r="E11" s="21" t="s">
        <v>55</v>
      </c>
    </row>
    <row r="13" spans="1:6" x14ac:dyDescent="0.35">
      <c r="A13" s="29" t="s">
        <v>58</v>
      </c>
      <c r="B13" s="29"/>
      <c r="C13" s="29"/>
      <c r="D13" s="29"/>
      <c r="E13" s="29"/>
      <c r="F13" s="29"/>
    </row>
    <row r="14" spans="1:6" x14ac:dyDescent="0.35">
      <c r="A14" s="22" t="s">
        <v>59</v>
      </c>
      <c r="B14" s="22" t="s">
        <v>42</v>
      </c>
      <c r="C14" s="22" t="s">
        <v>60</v>
      </c>
      <c r="D14" s="22" t="s">
        <v>44</v>
      </c>
      <c r="E14" s="22" t="s">
        <v>61</v>
      </c>
    </row>
    <row r="15" spans="1:6" x14ac:dyDescent="0.35">
      <c r="A15" s="14" t="s">
        <v>62</v>
      </c>
      <c r="B15" s="14">
        <f>IF($C$3*1.1&gt;0,$C$3*1.1,"")</f>
        <v>38.5</v>
      </c>
      <c r="C15" s="14" t="s">
        <v>63</v>
      </c>
      <c r="D15" s="23">
        <f>$C$3*0.85</f>
        <v>29.75</v>
      </c>
      <c r="E15" s="14" t="str">
        <f>IF($C$3*0.85&gt;0,"Price drops to "&amp;TEXT($C$3*0.85,"0.00")&amp;"c","")</f>
        <v>Price drops to 29.75c</v>
      </c>
    </row>
    <row r="16" spans="1:6" x14ac:dyDescent="0.35">
      <c r="A16" s="14" t="s">
        <v>57</v>
      </c>
      <c r="B16" s="14">
        <f>$C$3*1.1</f>
        <v>38.5</v>
      </c>
      <c r="C16" s="14" t="s">
        <v>54</v>
      </c>
      <c r="D16" s="23">
        <f>$C$3</f>
        <v>35</v>
      </c>
      <c r="E16" s="14" t="str">
        <f>IF($C$3&gt;0,"Price drops to "&amp;TEXT($C$3,"0.00")&amp;"c","")</f>
        <v>Price drops to 35.00c</v>
      </c>
    </row>
    <row r="17" spans="1:6" x14ac:dyDescent="0.35">
      <c r="A17" s="14" t="s">
        <v>64</v>
      </c>
      <c r="B17" s="14">
        <f>$C$3*1.2</f>
        <v>42</v>
      </c>
      <c r="C17" s="14" t="s">
        <v>57</v>
      </c>
      <c r="D17" s="23">
        <f>$C$3*1.1</f>
        <v>38.5</v>
      </c>
      <c r="E17" s="14" t="str">
        <f>IF($C$3*1.1&gt;0,"Price drops to "&amp;TEXT($C$3*1.1,"0.00")&amp;"c","")</f>
        <v>Price drops to 38.50c</v>
      </c>
    </row>
    <row r="18" spans="1:6" x14ac:dyDescent="0.35">
      <c r="A18" s="14" t="s">
        <v>65</v>
      </c>
      <c r="B18" s="14">
        <f>$C$3*1.3</f>
        <v>45.5</v>
      </c>
      <c r="C18" s="14" t="s">
        <v>66</v>
      </c>
      <c r="D18" s="23">
        <f>$C$4*0.9</f>
        <v>64.8</v>
      </c>
      <c r="E18" s="14" t="str">
        <f>IF($C$4*0.9&gt;0,"Price drops to "&amp;TEXT($C$4*0.9,"0.00")&amp;"c","")</f>
        <v>Price drops to 64.80c</v>
      </c>
    </row>
    <row r="19" spans="1:6" x14ac:dyDescent="0.35">
      <c r="A19" s="14" t="s">
        <v>67</v>
      </c>
      <c r="B19" s="14">
        <f>$C$3*1.4</f>
        <v>49</v>
      </c>
      <c r="C19" s="14" t="s">
        <v>66</v>
      </c>
      <c r="D19" s="23">
        <f>$C$4*0.9</f>
        <v>64.8</v>
      </c>
      <c r="E19" s="14" t="str">
        <f>IF($C$4*0.9&gt;0,"Price drops to "&amp;TEXT($C$4*0.9,"0.00")&amp;"c","")</f>
        <v>Price drops to 64.80c</v>
      </c>
    </row>
    <row r="20" spans="1:6" x14ac:dyDescent="0.35">
      <c r="A20" s="14" t="s">
        <v>68</v>
      </c>
      <c r="B20" s="14">
        <f>$C$3*1.5</f>
        <v>52.5</v>
      </c>
      <c r="C20" s="14" t="s">
        <v>66</v>
      </c>
      <c r="D20" s="23">
        <f>$C$4*0.9</f>
        <v>64.8</v>
      </c>
      <c r="E20" s="14" t="str">
        <f>IF($C$4*0.9&gt;0,"Price drops to "&amp;TEXT($C$4*0.9,"0.00")&amp;"c","")</f>
        <v>Price drops to 64.80c</v>
      </c>
    </row>
    <row r="22" spans="1:6" x14ac:dyDescent="0.35">
      <c r="A22" s="29" t="s">
        <v>69</v>
      </c>
      <c r="B22" s="29"/>
      <c r="C22" s="29"/>
      <c r="D22" s="29"/>
      <c r="E22" s="29"/>
      <c r="F22" s="29"/>
    </row>
    <row r="23" spans="1:6" x14ac:dyDescent="0.35">
      <c r="A23" s="2" t="s">
        <v>70</v>
      </c>
      <c r="B23" s="2" t="s">
        <v>71</v>
      </c>
    </row>
    <row r="24" spans="1:6" ht="25" x14ac:dyDescent="0.35">
      <c r="A24" s="16" t="s">
        <v>72</v>
      </c>
      <c r="B24" s="24">
        <f>$C$3*0.7</f>
        <v>24.5</v>
      </c>
    </row>
    <row r="25" spans="1:6" x14ac:dyDescent="0.35">
      <c r="A25" s="16" t="s">
        <v>73</v>
      </c>
      <c r="B25" s="24">
        <f>$C$3*0.85</f>
        <v>29.75</v>
      </c>
    </row>
    <row r="26" spans="1:6" x14ac:dyDescent="0.35">
      <c r="A26" s="16" t="s">
        <v>74</v>
      </c>
      <c r="B26" s="24">
        <f>$C$3</f>
        <v>35</v>
      </c>
    </row>
    <row r="27" spans="1:6" x14ac:dyDescent="0.35">
      <c r="A27" s="16" t="s">
        <v>75</v>
      </c>
      <c r="B27" s="24">
        <f>$C$3*1.1</f>
        <v>38.5</v>
      </c>
    </row>
    <row r="28" spans="1:6" x14ac:dyDescent="0.35">
      <c r="A28" s="16" t="s">
        <v>76</v>
      </c>
      <c r="B28" s="24">
        <f>$C$3*1.2</f>
        <v>42</v>
      </c>
    </row>
    <row r="29" spans="1:6" ht="25" x14ac:dyDescent="0.35">
      <c r="A29" s="16" t="s">
        <v>77</v>
      </c>
      <c r="B29" s="24">
        <f>$C$4*0.9</f>
        <v>64.8</v>
      </c>
    </row>
  </sheetData>
  <mergeCells count="6">
    <mergeCell ref="A22:F22"/>
    <mergeCell ref="A1:F1"/>
    <mergeCell ref="A3:B3"/>
    <mergeCell ref="A4:B4"/>
    <mergeCell ref="A6:F6"/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6"/>
  <sheetViews>
    <sheetView zoomScaleNormal="100" workbookViewId="0">
      <pane ySplit="6" topLeftCell="A7" activePane="bottomLeft" state="frozen"/>
      <selection pane="bottomLeft" activeCell="A10" sqref="A10"/>
    </sheetView>
  </sheetViews>
  <sheetFormatPr defaultColWidth="8.6328125" defaultRowHeight="14.5" x14ac:dyDescent="0.35"/>
  <cols>
    <col min="1" max="1" width="10" customWidth="1"/>
    <col min="2" max="2" width="12" customWidth="1"/>
    <col min="3" max="3" width="14" customWidth="1"/>
    <col min="4" max="4" width="16" customWidth="1"/>
  </cols>
  <sheetData>
    <row r="1" spans="1:4" ht="30" customHeight="1" x14ac:dyDescent="0.35">
      <c r="A1" s="28" t="s">
        <v>78</v>
      </c>
      <c r="B1" s="28"/>
      <c r="C1" s="28"/>
      <c r="D1" s="28"/>
    </row>
    <row r="3" spans="1:4" ht="39" x14ac:dyDescent="0.35">
      <c r="A3" s="1" t="s">
        <v>79</v>
      </c>
      <c r="B3" s="25">
        <v>1000</v>
      </c>
    </row>
    <row r="4" spans="1:4" ht="26" x14ac:dyDescent="0.35">
      <c r="A4" s="1" t="s">
        <v>80</v>
      </c>
      <c r="B4" s="25">
        <v>100</v>
      </c>
    </row>
    <row r="6" spans="1:4" x14ac:dyDescent="0.35">
      <c r="A6" s="2" t="s">
        <v>1</v>
      </c>
      <c r="B6" s="2" t="s">
        <v>15</v>
      </c>
      <c r="C6" s="2" t="s">
        <v>81</v>
      </c>
      <c r="D6" s="2" t="s">
        <v>82</v>
      </c>
    </row>
    <row r="7" spans="1:4" x14ac:dyDescent="0.35">
      <c r="A7" s="9">
        <f>IF('Trade Log'!O4="","",1)</f>
        <v>1</v>
      </c>
      <c r="B7" s="13">
        <f>IF('Trade Log'!O4="","",'Trade Log'!O4)</f>
        <v>-0.3</v>
      </c>
      <c r="C7" s="26">
        <f t="shared" ref="C7:C38" si="0">IF(B7="","",$B$4*B7)</f>
        <v>-30</v>
      </c>
      <c r="D7" s="26">
        <f>IF(C7="",$B$3,$B$3+C7)</f>
        <v>970</v>
      </c>
    </row>
    <row r="8" spans="1:4" x14ac:dyDescent="0.35">
      <c r="A8" s="3">
        <f>IF('Trade Log'!O5="","",2)</f>
        <v>2</v>
      </c>
      <c r="B8" s="7">
        <f>IF('Trade Log'!O5="","",'Trade Log'!O5)</f>
        <v>0.66666666666666674</v>
      </c>
      <c r="C8" s="27">
        <f t="shared" si="0"/>
        <v>66.666666666666671</v>
      </c>
      <c r="D8" s="27">
        <f t="shared" ref="D8:D39" si="1">IF(C8="",IF(D7="",$B$3,D7),D7+C8)</f>
        <v>1036.6666666666667</v>
      </c>
    </row>
    <row r="9" spans="1:4" x14ac:dyDescent="0.35">
      <c r="A9" s="9">
        <f>IF('Trade Log'!O6="","",3)</f>
        <v>3</v>
      </c>
      <c r="B9" s="13">
        <f>IF('Trade Log'!O6="","",'Trade Log'!O6)</f>
        <v>0.85142857142857165</v>
      </c>
      <c r="C9" s="26">
        <f t="shared" si="0"/>
        <v>85.142857142857167</v>
      </c>
      <c r="D9" s="26">
        <f t="shared" si="1"/>
        <v>1121.8095238095239</v>
      </c>
    </row>
    <row r="10" spans="1:4" x14ac:dyDescent="0.35">
      <c r="A10" s="3" t="str">
        <f>IF('Trade Log'!O7="","",4)</f>
        <v/>
      </c>
      <c r="B10" s="7" t="str">
        <f>IF('Trade Log'!O7="","",'Trade Log'!O7)</f>
        <v/>
      </c>
      <c r="C10" s="27" t="str">
        <f t="shared" si="0"/>
        <v/>
      </c>
      <c r="D10" s="27">
        <f t="shared" si="1"/>
        <v>1121.8095238095239</v>
      </c>
    </row>
    <row r="11" spans="1:4" x14ac:dyDescent="0.35">
      <c r="A11" s="9" t="str">
        <f>IF('Trade Log'!O8="","",5)</f>
        <v/>
      </c>
      <c r="B11" s="13" t="str">
        <f>IF('Trade Log'!O8="","",'Trade Log'!O8)</f>
        <v/>
      </c>
      <c r="C11" s="26" t="str">
        <f t="shared" si="0"/>
        <v/>
      </c>
      <c r="D11" s="26">
        <f t="shared" si="1"/>
        <v>1121.8095238095239</v>
      </c>
    </row>
    <row r="12" spans="1:4" x14ac:dyDescent="0.35">
      <c r="A12" s="3" t="str">
        <f>IF('Trade Log'!O9="","",6)</f>
        <v/>
      </c>
      <c r="B12" s="7" t="str">
        <f>IF('Trade Log'!O9="","",'Trade Log'!O9)</f>
        <v/>
      </c>
      <c r="C12" s="27" t="str">
        <f t="shared" si="0"/>
        <v/>
      </c>
      <c r="D12" s="27">
        <f t="shared" si="1"/>
        <v>1121.8095238095239</v>
      </c>
    </row>
    <row r="13" spans="1:4" x14ac:dyDescent="0.35">
      <c r="A13" s="9" t="str">
        <f>IF('Trade Log'!O10="","",7)</f>
        <v/>
      </c>
      <c r="B13" s="13" t="str">
        <f>IF('Trade Log'!O10="","",'Trade Log'!O10)</f>
        <v/>
      </c>
      <c r="C13" s="26" t="str">
        <f t="shared" si="0"/>
        <v/>
      </c>
      <c r="D13" s="26">
        <f t="shared" si="1"/>
        <v>1121.8095238095239</v>
      </c>
    </row>
    <row r="14" spans="1:4" x14ac:dyDescent="0.35">
      <c r="A14" s="3" t="str">
        <f>IF('Trade Log'!O11="","",8)</f>
        <v/>
      </c>
      <c r="B14" s="7" t="str">
        <f>IF('Trade Log'!O11="","",'Trade Log'!O11)</f>
        <v/>
      </c>
      <c r="C14" s="27" t="str">
        <f t="shared" si="0"/>
        <v/>
      </c>
      <c r="D14" s="27">
        <f t="shared" si="1"/>
        <v>1121.8095238095239</v>
      </c>
    </row>
    <row r="15" spans="1:4" x14ac:dyDescent="0.35">
      <c r="A15" s="9" t="str">
        <f>IF('Trade Log'!O12="","",9)</f>
        <v/>
      </c>
      <c r="B15" s="13" t="str">
        <f>IF('Trade Log'!O12="","",'Trade Log'!O12)</f>
        <v/>
      </c>
      <c r="C15" s="26" t="str">
        <f t="shared" si="0"/>
        <v/>
      </c>
      <c r="D15" s="26">
        <f t="shared" si="1"/>
        <v>1121.8095238095239</v>
      </c>
    </row>
    <row r="16" spans="1:4" x14ac:dyDescent="0.35">
      <c r="A16" s="3" t="str">
        <f>IF('Trade Log'!O13="","",10)</f>
        <v/>
      </c>
      <c r="B16" s="7" t="str">
        <f>IF('Trade Log'!O13="","",'Trade Log'!O13)</f>
        <v/>
      </c>
      <c r="C16" s="27" t="str">
        <f t="shared" si="0"/>
        <v/>
      </c>
      <c r="D16" s="27">
        <f t="shared" si="1"/>
        <v>1121.8095238095239</v>
      </c>
    </row>
    <row r="17" spans="1:4" x14ac:dyDescent="0.35">
      <c r="A17" s="9" t="str">
        <f>IF('Trade Log'!O14="","",11)</f>
        <v/>
      </c>
      <c r="B17" s="13" t="str">
        <f>IF('Trade Log'!O14="","",'Trade Log'!O14)</f>
        <v/>
      </c>
      <c r="C17" s="26" t="str">
        <f t="shared" si="0"/>
        <v/>
      </c>
      <c r="D17" s="26">
        <f t="shared" si="1"/>
        <v>1121.8095238095239</v>
      </c>
    </row>
    <row r="18" spans="1:4" x14ac:dyDescent="0.35">
      <c r="A18" s="3" t="str">
        <f>IF('Trade Log'!O15="","",12)</f>
        <v/>
      </c>
      <c r="B18" s="7" t="str">
        <f>IF('Trade Log'!O15="","",'Trade Log'!O15)</f>
        <v/>
      </c>
      <c r="C18" s="27" t="str">
        <f t="shared" si="0"/>
        <v/>
      </c>
      <c r="D18" s="27">
        <f t="shared" si="1"/>
        <v>1121.8095238095239</v>
      </c>
    </row>
    <row r="19" spans="1:4" x14ac:dyDescent="0.35">
      <c r="A19" s="9" t="str">
        <f>IF('Trade Log'!O16="","",13)</f>
        <v/>
      </c>
      <c r="B19" s="13" t="str">
        <f>IF('Trade Log'!O16="","",'Trade Log'!O16)</f>
        <v/>
      </c>
      <c r="C19" s="26" t="str">
        <f t="shared" si="0"/>
        <v/>
      </c>
      <c r="D19" s="26">
        <f t="shared" si="1"/>
        <v>1121.8095238095239</v>
      </c>
    </row>
    <row r="20" spans="1:4" x14ac:dyDescent="0.35">
      <c r="A20" s="3" t="str">
        <f>IF('Trade Log'!O17="","",14)</f>
        <v/>
      </c>
      <c r="B20" s="7" t="str">
        <f>IF('Trade Log'!O17="","",'Trade Log'!O17)</f>
        <v/>
      </c>
      <c r="C20" s="27" t="str">
        <f t="shared" si="0"/>
        <v/>
      </c>
      <c r="D20" s="27">
        <f t="shared" si="1"/>
        <v>1121.8095238095239</v>
      </c>
    </row>
    <row r="21" spans="1:4" x14ac:dyDescent="0.35">
      <c r="A21" s="9" t="str">
        <f>IF('Trade Log'!O18="","",15)</f>
        <v/>
      </c>
      <c r="B21" s="13" t="str">
        <f>IF('Trade Log'!O18="","",'Trade Log'!O18)</f>
        <v/>
      </c>
      <c r="C21" s="26" t="str">
        <f t="shared" si="0"/>
        <v/>
      </c>
      <c r="D21" s="26">
        <f t="shared" si="1"/>
        <v>1121.8095238095239</v>
      </c>
    </row>
    <row r="22" spans="1:4" x14ac:dyDescent="0.35">
      <c r="A22" s="3" t="str">
        <f>IF('Trade Log'!O19="","",16)</f>
        <v/>
      </c>
      <c r="B22" s="7" t="str">
        <f>IF('Trade Log'!O19="","",'Trade Log'!O19)</f>
        <v/>
      </c>
      <c r="C22" s="27" t="str">
        <f t="shared" si="0"/>
        <v/>
      </c>
      <c r="D22" s="27">
        <f t="shared" si="1"/>
        <v>1121.8095238095239</v>
      </c>
    </row>
    <row r="23" spans="1:4" x14ac:dyDescent="0.35">
      <c r="A23" s="9" t="str">
        <f>IF('Trade Log'!O20="","",17)</f>
        <v/>
      </c>
      <c r="B23" s="13" t="str">
        <f>IF('Trade Log'!O20="","",'Trade Log'!O20)</f>
        <v/>
      </c>
      <c r="C23" s="26" t="str">
        <f t="shared" si="0"/>
        <v/>
      </c>
      <c r="D23" s="26">
        <f t="shared" si="1"/>
        <v>1121.8095238095239</v>
      </c>
    </row>
    <row r="24" spans="1:4" x14ac:dyDescent="0.35">
      <c r="A24" s="3" t="str">
        <f>IF('Trade Log'!O21="","",18)</f>
        <v/>
      </c>
      <c r="B24" s="7" t="str">
        <f>IF('Trade Log'!O21="","",'Trade Log'!O21)</f>
        <v/>
      </c>
      <c r="C24" s="27" t="str">
        <f t="shared" si="0"/>
        <v/>
      </c>
      <c r="D24" s="27">
        <f t="shared" si="1"/>
        <v>1121.8095238095239</v>
      </c>
    </row>
    <row r="25" spans="1:4" x14ac:dyDescent="0.35">
      <c r="A25" s="9" t="str">
        <f>IF('Trade Log'!O22="","",19)</f>
        <v/>
      </c>
      <c r="B25" s="13" t="str">
        <f>IF('Trade Log'!O22="","",'Trade Log'!O22)</f>
        <v/>
      </c>
      <c r="C25" s="26" t="str">
        <f t="shared" si="0"/>
        <v/>
      </c>
      <c r="D25" s="26">
        <f t="shared" si="1"/>
        <v>1121.8095238095239</v>
      </c>
    </row>
    <row r="26" spans="1:4" x14ac:dyDescent="0.35">
      <c r="A26" s="3" t="str">
        <f>IF('Trade Log'!O23="","",20)</f>
        <v/>
      </c>
      <c r="B26" s="7" t="str">
        <f>IF('Trade Log'!O23="","",'Trade Log'!O23)</f>
        <v/>
      </c>
      <c r="C26" s="27" t="str">
        <f t="shared" si="0"/>
        <v/>
      </c>
      <c r="D26" s="27">
        <f t="shared" si="1"/>
        <v>1121.8095238095239</v>
      </c>
    </row>
    <row r="27" spans="1:4" x14ac:dyDescent="0.35">
      <c r="A27" s="9" t="str">
        <f>IF('Trade Log'!O24="","",21)</f>
        <v/>
      </c>
      <c r="B27" s="13" t="str">
        <f>IF('Trade Log'!O24="","",'Trade Log'!O24)</f>
        <v/>
      </c>
      <c r="C27" s="26" t="str">
        <f t="shared" si="0"/>
        <v/>
      </c>
      <c r="D27" s="26">
        <f t="shared" si="1"/>
        <v>1121.8095238095239</v>
      </c>
    </row>
    <row r="28" spans="1:4" x14ac:dyDescent="0.35">
      <c r="A28" s="3" t="str">
        <f>IF('Trade Log'!O25="","",22)</f>
        <v/>
      </c>
      <c r="B28" s="7" t="str">
        <f>IF('Trade Log'!O25="","",'Trade Log'!O25)</f>
        <v/>
      </c>
      <c r="C28" s="27" t="str">
        <f t="shared" si="0"/>
        <v/>
      </c>
      <c r="D28" s="27">
        <f t="shared" si="1"/>
        <v>1121.8095238095239</v>
      </c>
    </row>
    <row r="29" spans="1:4" x14ac:dyDescent="0.35">
      <c r="A29" s="9" t="str">
        <f>IF('Trade Log'!O26="","",23)</f>
        <v/>
      </c>
      <c r="B29" s="13" t="str">
        <f>IF('Trade Log'!O26="","",'Trade Log'!O26)</f>
        <v/>
      </c>
      <c r="C29" s="26" t="str">
        <f t="shared" si="0"/>
        <v/>
      </c>
      <c r="D29" s="26">
        <f t="shared" si="1"/>
        <v>1121.8095238095239</v>
      </c>
    </row>
    <row r="30" spans="1:4" x14ac:dyDescent="0.35">
      <c r="A30" s="3" t="str">
        <f>IF('Trade Log'!O27="","",24)</f>
        <v/>
      </c>
      <c r="B30" s="7" t="str">
        <f>IF('Trade Log'!O27="","",'Trade Log'!O27)</f>
        <v/>
      </c>
      <c r="C30" s="27" t="str">
        <f t="shared" si="0"/>
        <v/>
      </c>
      <c r="D30" s="27">
        <f t="shared" si="1"/>
        <v>1121.8095238095239</v>
      </c>
    </row>
    <row r="31" spans="1:4" x14ac:dyDescent="0.35">
      <c r="A31" s="9" t="str">
        <f>IF('Trade Log'!O28="","",25)</f>
        <v/>
      </c>
      <c r="B31" s="13" t="str">
        <f>IF('Trade Log'!O28="","",'Trade Log'!O28)</f>
        <v/>
      </c>
      <c r="C31" s="26" t="str">
        <f t="shared" si="0"/>
        <v/>
      </c>
      <c r="D31" s="26">
        <f t="shared" si="1"/>
        <v>1121.8095238095239</v>
      </c>
    </row>
    <row r="32" spans="1:4" x14ac:dyDescent="0.35">
      <c r="A32" s="3" t="str">
        <f>IF('Trade Log'!O29="","",26)</f>
        <v/>
      </c>
      <c r="B32" s="7" t="str">
        <f>IF('Trade Log'!O29="","",'Trade Log'!O29)</f>
        <v/>
      </c>
      <c r="C32" s="27" t="str">
        <f t="shared" si="0"/>
        <v/>
      </c>
      <c r="D32" s="27">
        <f t="shared" si="1"/>
        <v>1121.8095238095239</v>
      </c>
    </row>
    <row r="33" spans="1:4" x14ac:dyDescent="0.35">
      <c r="A33" s="9" t="str">
        <f>IF('Trade Log'!O30="","",27)</f>
        <v/>
      </c>
      <c r="B33" s="13" t="str">
        <f>IF('Trade Log'!O30="","",'Trade Log'!O30)</f>
        <v/>
      </c>
      <c r="C33" s="26" t="str">
        <f t="shared" si="0"/>
        <v/>
      </c>
      <c r="D33" s="26">
        <f t="shared" si="1"/>
        <v>1121.8095238095239</v>
      </c>
    </row>
    <row r="34" spans="1:4" x14ac:dyDescent="0.35">
      <c r="A34" s="3" t="str">
        <f>IF('Trade Log'!O31="","",28)</f>
        <v/>
      </c>
      <c r="B34" s="7" t="str">
        <f>IF('Trade Log'!O31="","",'Trade Log'!O31)</f>
        <v/>
      </c>
      <c r="C34" s="27" t="str">
        <f t="shared" si="0"/>
        <v/>
      </c>
      <c r="D34" s="27">
        <f t="shared" si="1"/>
        <v>1121.8095238095239</v>
      </c>
    </row>
    <row r="35" spans="1:4" x14ac:dyDescent="0.35">
      <c r="A35" s="9" t="str">
        <f>IF('Trade Log'!O32="","",29)</f>
        <v/>
      </c>
      <c r="B35" s="13" t="str">
        <f>IF('Trade Log'!O32="","",'Trade Log'!O32)</f>
        <v/>
      </c>
      <c r="C35" s="26" t="str">
        <f t="shared" si="0"/>
        <v/>
      </c>
      <c r="D35" s="26">
        <f t="shared" si="1"/>
        <v>1121.8095238095239</v>
      </c>
    </row>
    <row r="36" spans="1:4" x14ac:dyDescent="0.35">
      <c r="A36" s="3" t="str">
        <f>IF('Trade Log'!O33="","",30)</f>
        <v/>
      </c>
      <c r="B36" s="7" t="str">
        <f>IF('Trade Log'!O33="","",'Trade Log'!O33)</f>
        <v/>
      </c>
      <c r="C36" s="27" t="str">
        <f t="shared" si="0"/>
        <v/>
      </c>
      <c r="D36" s="27">
        <f t="shared" si="1"/>
        <v>1121.8095238095239</v>
      </c>
    </row>
    <row r="37" spans="1:4" x14ac:dyDescent="0.35">
      <c r="A37" s="9" t="str">
        <f>IF('Trade Log'!O34="","",31)</f>
        <v/>
      </c>
      <c r="B37" s="13" t="str">
        <f>IF('Trade Log'!O34="","",'Trade Log'!O34)</f>
        <v/>
      </c>
      <c r="C37" s="26" t="str">
        <f t="shared" si="0"/>
        <v/>
      </c>
      <c r="D37" s="26">
        <f t="shared" si="1"/>
        <v>1121.8095238095239</v>
      </c>
    </row>
    <row r="38" spans="1:4" x14ac:dyDescent="0.35">
      <c r="A38" s="3" t="str">
        <f>IF('Trade Log'!O35="","",32)</f>
        <v/>
      </c>
      <c r="B38" s="7" t="str">
        <f>IF('Trade Log'!O35="","",'Trade Log'!O35)</f>
        <v/>
      </c>
      <c r="C38" s="27" t="str">
        <f t="shared" si="0"/>
        <v/>
      </c>
      <c r="D38" s="27">
        <f t="shared" si="1"/>
        <v>1121.8095238095239</v>
      </c>
    </row>
    <row r="39" spans="1:4" x14ac:dyDescent="0.35">
      <c r="A39" s="9" t="str">
        <f>IF('Trade Log'!O36="","",33)</f>
        <v/>
      </c>
      <c r="B39" s="13" t="str">
        <f>IF('Trade Log'!O36="","",'Trade Log'!O36)</f>
        <v/>
      </c>
      <c r="C39" s="26" t="str">
        <f t="shared" ref="C39:C56" si="2">IF(B39="","",$B$4*B39)</f>
        <v/>
      </c>
      <c r="D39" s="26">
        <f t="shared" si="1"/>
        <v>1121.8095238095239</v>
      </c>
    </row>
    <row r="40" spans="1:4" x14ac:dyDescent="0.35">
      <c r="A40" s="3" t="str">
        <f>IF('Trade Log'!O37="","",34)</f>
        <v/>
      </c>
      <c r="B40" s="7" t="str">
        <f>IF('Trade Log'!O37="","",'Trade Log'!O37)</f>
        <v/>
      </c>
      <c r="C40" s="27" t="str">
        <f t="shared" si="2"/>
        <v/>
      </c>
      <c r="D40" s="27">
        <f t="shared" ref="D40:D56" si="3">IF(C40="",IF(D39="",$B$3,D39),D39+C40)</f>
        <v>1121.8095238095239</v>
      </c>
    </row>
    <row r="41" spans="1:4" x14ac:dyDescent="0.35">
      <c r="A41" s="9" t="str">
        <f>IF('Trade Log'!O38="","",35)</f>
        <v/>
      </c>
      <c r="B41" s="13" t="str">
        <f>IF('Trade Log'!O38="","",'Trade Log'!O38)</f>
        <v/>
      </c>
      <c r="C41" s="26" t="str">
        <f t="shared" si="2"/>
        <v/>
      </c>
      <c r="D41" s="26">
        <f t="shared" si="3"/>
        <v>1121.8095238095239</v>
      </c>
    </row>
    <row r="42" spans="1:4" x14ac:dyDescent="0.35">
      <c r="A42" s="3" t="str">
        <f>IF('Trade Log'!O39="","",36)</f>
        <v/>
      </c>
      <c r="B42" s="7" t="str">
        <f>IF('Trade Log'!O39="","",'Trade Log'!O39)</f>
        <v/>
      </c>
      <c r="C42" s="27" t="str">
        <f t="shared" si="2"/>
        <v/>
      </c>
      <c r="D42" s="27">
        <f t="shared" si="3"/>
        <v>1121.8095238095239</v>
      </c>
    </row>
    <row r="43" spans="1:4" x14ac:dyDescent="0.35">
      <c r="A43" s="9" t="str">
        <f>IF('Trade Log'!O40="","",37)</f>
        <v/>
      </c>
      <c r="B43" s="13" t="str">
        <f>IF('Trade Log'!O40="","",'Trade Log'!O40)</f>
        <v/>
      </c>
      <c r="C43" s="26" t="str">
        <f t="shared" si="2"/>
        <v/>
      </c>
      <c r="D43" s="26">
        <f t="shared" si="3"/>
        <v>1121.8095238095239</v>
      </c>
    </row>
    <row r="44" spans="1:4" x14ac:dyDescent="0.35">
      <c r="A44" s="3" t="str">
        <f>IF('Trade Log'!O41="","",38)</f>
        <v/>
      </c>
      <c r="B44" s="7" t="str">
        <f>IF('Trade Log'!O41="","",'Trade Log'!O41)</f>
        <v/>
      </c>
      <c r="C44" s="27" t="str">
        <f t="shared" si="2"/>
        <v/>
      </c>
      <c r="D44" s="27">
        <f t="shared" si="3"/>
        <v>1121.8095238095239</v>
      </c>
    </row>
    <row r="45" spans="1:4" x14ac:dyDescent="0.35">
      <c r="A45" s="9" t="str">
        <f>IF('Trade Log'!O42="","",39)</f>
        <v/>
      </c>
      <c r="B45" s="13" t="str">
        <f>IF('Trade Log'!O42="","",'Trade Log'!O42)</f>
        <v/>
      </c>
      <c r="C45" s="26" t="str">
        <f t="shared" si="2"/>
        <v/>
      </c>
      <c r="D45" s="26">
        <f t="shared" si="3"/>
        <v>1121.8095238095239</v>
      </c>
    </row>
    <row r="46" spans="1:4" x14ac:dyDescent="0.35">
      <c r="A46" s="3" t="str">
        <f>IF('Trade Log'!O43="","",40)</f>
        <v/>
      </c>
      <c r="B46" s="7" t="str">
        <f>IF('Trade Log'!O43="","",'Trade Log'!O43)</f>
        <v/>
      </c>
      <c r="C46" s="27" t="str">
        <f t="shared" si="2"/>
        <v/>
      </c>
      <c r="D46" s="27">
        <f t="shared" si="3"/>
        <v>1121.8095238095239</v>
      </c>
    </row>
    <row r="47" spans="1:4" x14ac:dyDescent="0.35">
      <c r="A47" s="9" t="str">
        <f>IF('Trade Log'!O44="","",41)</f>
        <v/>
      </c>
      <c r="B47" s="13" t="str">
        <f>IF('Trade Log'!O44="","",'Trade Log'!O44)</f>
        <v/>
      </c>
      <c r="C47" s="26" t="str">
        <f t="shared" si="2"/>
        <v/>
      </c>
      <c r="D47" s="26">
        <f t="shared" si="3"/>
        <v>1121.8095238095239</v>
      </c>
    </row>
    <row r="48" spans="1:4" x14ac:dyDescent="0.35">
      <c r="A48" s="3" t="str">
        <f>IF('Trade Log'!O45="","",42)</f>
        <v/>
      </c>
      <c r="B48" s="7" t="str">
        <f>IF('Trade Log'!O45="","",'Trade Log'!O45)</f>
        <v/>
      </c>
      <c r="C48" s="27" t="str">
        <f t="shared" si="2"/>
        <v/>
      </c>
      <c r="D48" s="27">
        <f t="shared" si="3"/>
        <v>1121.8095238095239</v>
      </c>
    </row>
    <row r="49" spans="1:4" x14ac:dyDescent="0.35">
      <c r="A49" s="9" t="str">
        <f>IF('Trade Log'!O46="","",43)</f>
        <v/>
      </c>
      <c r="B49" s="13" t="str">
        <f>IF('Trade Log'!O46="","",'Trade Log'!O46)</f>
        <v/>
      </c>
      <c r="C49" s="26" t="str">
        <f t="shared" si="2"/>
        <v/>
      </c>
      <c r="D49" s="26">
        <f t="shared" si="3"/>
        <v>1121.8095238095239</v>
      </c>
    </row>
    <row r="50" spans="1:4" x14ac:dyDescent="0.35">
      <c r="A50" s="3" t="str">
        <f>IF('Trade Log'!O47="","",44)</f>
        <v/>
      </c>
      <c r="B50" s="7" t="str">
        <f>IF('Trade Log'!O47="","",'Trade Log'!O47)</f>
        <v/>
      </c>
      <c r="C50" s="27" t="str">
        <f t="shared" si="2"/>
        <v/>
      </c>
      <c r="D50" s="27">
        <f t="shared" si="3"/>
        <v>1121.8095238095239</v>
      </c>
    </row>
    <row r="51" spans="1:4" x14ac:dyDescent="0.35">
      <c r="A51" s="9" t="str">
        <f>IF('Trade Log'!O48="","",45)</f>
        <v/>
      </c>
      <c r="B51" s="13" t="str">
        <f>IF('Trade Log'!O48="","",'Trade Log'!O48)</f>
        <v/>
      </c>
      <c r="C51" s="26" t="str">
        <f t="shared" si="2"/>
        <v/>
      </c>
      <c r="D51" s="26">
        <f t="shared" si="3"/>
        <v>1121.8095238095239</v>
      </c>
    </row>
    <row r="52" spans="1:4" x14ac:dyDescent="0.35">
      <c r="A52" s="3" t="str">
        <f>IF('Trade Log'!O49="","",46)</f>
        <v/>
      </c>
      <c r="B52" s="7" t="str">
        <f>IF('Trade Log'!O49="","",'Trade Log'!O49)</f>
        <v/>
      </c>
      <c r="C52" s="27" t="str">
        <f t="shared" si="2"/>
        <v/>
      </c>
      <c r="D52" s="27">
        <f t="shared" si="3"/>
        <v>1121.8095238095239</v>
      </c>
    </row>
    <row r="53" spans="1:4" x14ac:dyDescent="0.35">
      <c r="A53" s="9" t="str">
        <f>IF('Trade Log'!O50="","",47)</f>
        <v/>
      </c>
      <c r="B53" s="13" t="str">
        <f>IF('Trade Log'!O50="","",'Trade Log'!O50)</f>
        <v/>
      </c>
      <c r="C53" s="26" t="str">
        <f t="shared" si="2"/>
        <v/>
      </c>
      <c r="D53" s="26">
        <f t="shared" si="3"/>
        <v>1121.8095238095239</v>
      </c>
    </row>
    <row r="54" spans="1:4" x14ac:dyDescent="0.35">
      <c r="A54" s="3" t="str">
        <f>IF('Trade Log'!O51="","",48)</f>
        <v/>
      </c>
      <c r="B54" s="7" t="str">
        <f>IF('Trade Log'!O51="","",'Trade Log'!O51)</f>
        <v/>
      </c>
      <c r="C54" s="27" t="str">
        <f t="shared" si="2"/>
        <v/>
      </c>
      <c r="D54" s="27">
        <f t="shared" si="3"/>
        <v>1121.8095238095239</v>
      </c>
    </row>
    <row r="55" spans="1:4" x14ac:dyDescent="0.35">
      <c r="A55" s="9" t="str">
        <f>IF('Trade Log'!O52="","",49)</f>
        <v/>
      </c>
      <c r="B55" s="13" t="str">
        <f>IF('Trade Log'!O52="","",'Trade Log'!O52)</f>
        <v/>
      </c>
      <c r="C55" s="26" t="str">
        <f t="shared" si="2"/>
        <v/>
      </c>
      <c r="D55" s="26">
        <f t="shared" si="3"/>
        <v>1121.8095238095239</v>
      </c>
    </row>
    <row r="56" spans="1:4" x14ac:dyDescent="0.35">
      <c r="A56" s="3" t="str">
        <f>IF('Trade Log'!O53="","",50)</f>
        <v/>
      </c>
      <c r="B56" s="7" t="str">
        <f>IF('Trade Log'!O53="","",'Trade Log'!O53)</f>
        <v/>
      </c>
      <c r="C56" s="27" t="str">
        <f t="shared" si="2"/>
        <v/>
      </c>
      <c r="D56" s="27">
        <f t="shared" si="3"/>
        <v>1121.8095238095239</v>
      </c>
    </row>
  </sheetData>
  <mergeCells count="1">
    <mergeCell ref="A1:D1"/>
  </mergeCells>
  <conditionalFormatting sqref="C7:C56">
    <cfRule type="cellIs" dxfId="1" priority="2" operator="greaterThan">
      <formula>0</formula>
    </cfRule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 Log</vt:lpstr>
      <vt:lpstr>Dashboard</vt:lpstr>
      <vt:lpstr>Threshold Calculator</vt:lpstr>
      <vt:lpstr>Cashflow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Justin Luu</cp:lastModifiedBy>
  <cp:revision>0</cp:revision>
  <dcterms:created xsi:type="dcterms:W3CDTF">2026-03-05T07:22:40Z</dcterms:created>
  <dcterms:modified xsi:type="dcterms:W3CDTF">2026-03-06T20:35:03Z</dcterms:modified>
  <dc:language>en-US</dc:language>
</cp:coreProperties>
</file>